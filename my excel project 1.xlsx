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C:\Users\Manisharani\Downloads\Telegram Desktop\"/>
    </mc:Choice>
  </mc:AlternateContent>
  <bookViews>
    <workbookView xWindow="0" yWindow="0" windowWidth="19344" windowHeight="8916" activeTab="2"/>
  </bookViews>
  <sheets>
    <sheet name="PROJECT" sheetId="2" r:id="rId1"/>
    <sheet name="working sheet" sheetId="3" r:id="rId2"/>
    <sheet name="dashboard" sheetId="4" r:id="rId3"/>
    <sheet name="Data" sheetId="1" r:id="rId4"/>
  </sheets>
  <definedNames>
    <definedName name="Slicer_Category">#N/A</definedName>
  </definedNames>
  <calcPr calcId="152511"/>
  <pivotCaches>
    <pivotCache cacheId="6" r:id="rId5"/>
    <pivotCache cacheId="1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 i="3" l="1"/>
  <c r="B3" i="3" l="1"/>
  <c r="B11" i="3"/>
  <c r="B4" i="3"/>
  <c r="B12" i="3"/>
  <c r="B5" i="3"/>
  <c r="B13" i="3"/>
  <c r="B6" i="3"/>
  <c r="B2" i="3"/>
  <c r="B7" i="3"/>
  <c r="C2" i="3"/>
  <c r="B8" i="3"/>
  <c r="B9" i="3"/>
  <c r="B10" i="3"/>
  <c r="B17" i="3"/>
  <c r="C8" i="3"/>
  <c r="C10" i="3"/>
  <c r="C9" i="3"/>
  <c r="C7" i="3"/>
  <c r="C6" i="3"/>
  <c r="B16" i="3"/>
  <c r="C13" i="3"/>
  <c r="C5" i="3"/>
  <c r="B19" i="3"/>
  <c r="C12" i="3"/>
  <c r="C4" i="3"/>
  <c r="B18" i="3"/>
  <c r="C11" i="3"/>
  <c r="C3"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D29" i="1" l="1"/>
</calcChain>
</file>

<file path=xl/sharedStrings.xml><?xml version="1.0" encoding="utf-8"?>
<sst xmlns="http://schemas.openxmlformats.org/spreadsheetml/2006/main" count="3054" uniqueCount="613">
  <si>
    <t>Order ID</t>
  </si>
  <si>
    <t>Order Date</t>
  </si>
  <si>
    <t>Category</t>
  </si>
  <si>
    <t>Sub-Category</t>
  </si>
  <si>
    <t>Customer Name</t>
  </si>
  <si>
    <t>Region</t>
  </si>
  <si>
    <t>Sales</t>
  </si>
  <si>
    <t>Quantity</t>
  </si>
  <si>
    <t>Profit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</si>
  <si>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</si>
  <si>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</si>
  <si>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</si>
  <si>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</si>
  <si>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</si>
  <si>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</si>
  <si>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</si>
  <si>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</si>
  <si>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</si>
  <si>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</si>
  <si>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</si>
  <si>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</si>
  <si>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</si>
  <si>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</si>
  <si>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</si>
  <si>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</si>
  <si>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</si>
  <si>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</si>
  <si>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</si>
  <si>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</si>
  <si>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</si>
  <si>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</si>
  <si>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</si>
  <si>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</si>
  <si>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</si>
  <si>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</si>
  <si>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</si>
  <si>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</si>
  <si>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</si>
  <si>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</si>
  <si>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</si>
  <si>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</si>
  <si>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</si>
  <si>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</si>
  <si>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</si>
  <si>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</si>
  <si>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</si>
  <si>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</si>
  <si>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</si>
  <si>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</si>
  <si>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</si>
  <si>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</si>
  <si>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</si>
  <si>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</si>
  <si>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</si>
  <si>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</si>
  <si>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</si>
  <si>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</si>
  <si>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</si>
  <si>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</si>
  <si>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</si>
  <si>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</si>
  <si>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</si>
  <si>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</si>
  <si>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</si>
  <si>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</si>
  <si>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</si>
  <si>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</si>
  <si>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</si>
  <si>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</si>
  <si>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</si>
  <si>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</si>
  <si>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</si>
  <si>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</si>
  <si>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</si>
  <si>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</si>
  <si>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</si>
  <si>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</si>
  <si>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</si>
  <si>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</si>
  <si>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</si>
  <si>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</si>
  <si>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</si>
  <si>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</si>
  <si>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</si>
  <si>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</si>
  <si>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</si>
  <si>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</si>
  <si>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</si>
  <si>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</si>
  <si>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</si>
  <si>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</si>
  <si>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</si>
  <si>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</si>
  <si>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</si>
  <si>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</si>
  <si>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</si>
  <si>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</si>
  <si>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</si>
  <si>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</si>
  <si>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</si>
  <si>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</si>
  <si>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</si>
  <si>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</si>
  <si>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</si>
  <si>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</si>
  <si>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</si>
  <si>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</si>
  <si>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</si>
  <si>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</si>
  <si>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</si>
  <si>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</si>
  <si>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</si>
  <si>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</si>
  <si>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</si>
  <si>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</si>
  <si>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</si>
  <si>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</si>
  <si>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</si>
  <si>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</si>
  <si>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</si>
  <si>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</si>
  <si>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</si>
  <si>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</si>
  <si>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</si>
  <si>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</si>
  <si>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</si>
  <si>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</si>
  <si>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</si>
  <si>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</si>
  <si>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</si>
  <si>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</si>
  <si>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</si>
  <si>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</si>
  <si>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</si>
  <si>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</si>
  <si>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</si>
  <si>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</si>
  <si>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</si>
  <si>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</si>
  <si>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</si>
  <si>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</si>
  <si>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</si>
  <si>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</si>
  <si>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</si>
  <si>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</si>
  <si>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</si>
  <si>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</si>
  <si>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</si>
  <si>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</si>
  <si>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</si>
  <si>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</si>
  <si>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</si>
  <si>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</si>
  <si>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</si>
  <si>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</si>
  <si>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</si>
  <si>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</si>
  <si>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</si>
  <si>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</si>
  <si>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</si>
  <si>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</si>
  <si>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</si>
  <si>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</si>
  <si>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</si>
  <si>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</si>
  <si>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</si>
  <si>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</si>
  <si>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</si>
  <si>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</si>
  <si>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</si>
  <si>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</si>
  <si>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</si>
  <si>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</si>
  <si>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</si>
  <si>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</si>
  <si>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</si>
  <si>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</si>
  <si>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</si>
  <si>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</si>
  <si>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</si>
  <si>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</si>
  <si>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</si>
  <si>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</si>
  <si>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</si>
  <si>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</si>
  <si>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</si>
  <si>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</si>
  <si>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</si>
  <si>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</si>
  <si>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</si>
  <si>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</si>
  <si>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</si>
  <si>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</si>
  <si>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</si>
  <si>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</si>
  <si>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</si>
  <si>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</si>
  <si>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</si>
  <si>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</si>
  <si>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</si>
  <si>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</si>
  <si>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</si>
  <si>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</si>
  <si>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</si>
  <si>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</si>
  <si>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</si>
  <si>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</si>
  <si>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</si>
  <si>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</si>
  <si>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</si>
  <si>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</si>
  <si>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</si>
  <si>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</si>
  <si>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</si>
  <si>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</si>
  <si>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</si>
  <si>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</si>
  <si>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</si>
  <si>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</si>
  <si>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</si>
  <si>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</si>
  <si>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</si>
  <si>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</si>
  <si>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</si>
  <si>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</si>
  <si>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</si>
  <si>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</si>
  <si>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</si>
  <si>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</si>
  <si>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</si>
  <si>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</si>
  <si>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</si>
  <si>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</si>
  <si>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</si>
  <si>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</si>
  <si>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</si>
  <si>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</si>
  <si>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</si>
  <si>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</si>
  <si>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</si>
  <si>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</si>
  <si>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</si>
  <si>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</si>
  <si>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</si>
  <si>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</si>
  <si>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</si>
  <si>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</si>
  <si>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</si>
  <si>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</si>
  <si>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</si>
  <si>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</si>
  <si>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</si>
  <si>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</si>
  <si>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</si>
  <si>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</si>
  <si>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</si>
  <si>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</si>
  <si>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</si>
  <si>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</si>
  <si>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</si>
  <si>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</si>
  <si>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</si>
  <si>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</si>
  <si>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</si>
  <si>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</si>
  <si>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</si>
  <si>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</si>
  <si>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</si>
  <si>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</si>
  <si>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</si>
  <si>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</si>
  <si>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</si>
  <si>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</si>
  <si>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</si>
  <si>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</si>
  <si>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</si>
  <si>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</si>
  <si>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</si>
  <si>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</si>
  <si>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</si>
  <si>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</si>
  <si>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</si>
  <si>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</si>
  <si>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</si>
  <si>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</si>
  <si>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</si>
  <si>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</si>
  <si>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</si>
  <si>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</si>
  <si>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</si>
  <si>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</si>
  <si>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</si>
  <si>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</si>
  <si>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</si>
  <si>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</si>
  <si>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</si>
  <si>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</si>
  <si>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</si>
  <si>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</si>
  <si>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</si>
  <si>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</si>
  <si>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</si>
  <si>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</si>
  <si>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</si>
  <si>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</si>
  <si>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</si>
  <si>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</si>
  <si>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</si>
  <si>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</si>
  <si>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</si>
  <si>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</si>
  <si>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</si>
  <si>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</si>
  <si>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</si>
  <si>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</si>
  <si>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</si>
  <si>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</si>
  <si>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</si>
  <si>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</si>
  <si>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</si>
  <si>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</si>
  <si>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</si>
  <si>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</si>
  <si>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</si>
  <si>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</si>
  <si>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</si>
  <si>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</si>
  <si>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</si>
  <si>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</si>
  <si>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</si>
  <si>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</si>
  <si>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</si>
  <si>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</si>
  <si>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</si>
  <si>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</si>
  <si>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</si>
  <si>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</si>
  <si>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</si>
  <si>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</si>
  <si>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</si>
  <si>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</si>
  <si>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</si>
  <si>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</si>
  <si>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</si>
  <si>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</si>
  <si>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</si>
  <si>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</si>
  <si>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</si>
  <si>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</si>
  <si>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</si>
  <si>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</si>
  <si>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</si>
  <si>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</si>
  <si>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</si>
  <si>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</si>
  <si>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</si>
  <si>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</si>
  <si>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</si>
  <si>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</si>
  <si>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</si>
  <si>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</si>
  <si>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</si>
  <si>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</si>
  <si>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</si>
  <si>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</si>
  <si>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</si>
  <si>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</si>
  <si>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</si>
  <si>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</si>
  <si>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</si>
  <si>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</si>
  <si>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</si>
  <si>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</si>
  <si>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</si>
  <si>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</si>
  <si>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</si>
  <si>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</si>
  <si>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</si>
  <si>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</si>
  <si>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</si>
  <si>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</si>
  <si>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</si>
  <si>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</si>
  <si>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</si>
  <si>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</si>
  <si>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</si>
  <si>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</si>
  <si>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</si>
  <si>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</si>
  <si>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</si>
  <si>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</si>
  <si>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</si>
  <si>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</si>
  <si>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</si>
  <si>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</si>
  <si>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</si>
  <si>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</si>
  <si>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</si>
  <si>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</si>
  <si>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</si>
  <si>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</si>
  <si>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</si>
  <si>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</si>
  <si>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</si>
  <si>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</si>
  <si>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</si>
  <si>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</si>
  <si>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</si>
  <si>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</si>
  <si>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</si>
  <si>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</si>
  <si>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</si>
  <si>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</si>
  <si>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</si>
  <si>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</si>
  <si>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</si>
  <si>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</si>
  <si>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</si>
  <si>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</si>
  <si>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</si>
  <si>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</si>
  <si>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</si>
  <si>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</si>
  <si>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</si>
  <si>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</si>
  <si>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</si>
  <si>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</si>
  <si>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</si>
  <si>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</si>
  <si>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</si>
  <si>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</si>
  <si>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</si>
  <si>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</si>
  <si>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</si>
  <si>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</si>
  <si>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</si>
  <si>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</si>
  <si>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</si>
  <si>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</si>
  <si>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</si>
  <si>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</si>
  <si>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</si>
  <si>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</si>
  <si>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</si>
  <si>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</si>
  <si>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</si>
  <si>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</si>
  <si>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</si>
  <si>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</si>
  <si>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</si>
  <si>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</si>
  <si>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</si>
  <si>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</si>
  <si>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</si>
  <si>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</si>
  <si>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</si>
  <si>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</si>
  <si>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</si>
  <si>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</si>
  <si>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</si>
  <si>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</si>
  <si>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</si>
  <si>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</si>
  <si>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</si>
  <si>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</si>
  <si>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</si>
  <si>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</si>
  <si>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</si>
  <si>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</si>
  <si>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</si>
  <si>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</si>
  <si>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</si>
  <si>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</si>
  <si>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</si>
  <si>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</si>
  <si>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</si>
  <si>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</si>
  <si>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</si>
  <si>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</si>
  <si>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</si>
  <si>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</si>
  <si>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</si>
  <si>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</si>
  <si>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</si>
  <si>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</si>
  <si>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</si>
  <si>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</si>
  <si>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</si>
  <si>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</si>
  <si>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</si>
  <si>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</si>
  <si>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</si>
  <si>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</si>
  <si>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</si>
  <si>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</si>
  <si>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</si>
  <si>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</si>
  <si>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</si>
  <si>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</si>
  <si>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</si>
  <si>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</si>
  <si>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</si>
  <si>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</si>
  <si>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</si>
  <si>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</si>
  <si>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</si>
  <si>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</si>
  <si>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</si>
  <si>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</si>
  <si>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Electronics</t>
  </si>
  <si>
    <t>Home &amp; Kitchen</t>
  </si>
  <si>
    <t>Clothing</t>
  </si>
  <si>
    <t>Beauty</t>
  </si>
  <si>
    <t>Laptop</t>
  </si>
  <si>
    <t>Camera</t>
  </si>
  <si>
    <t>Mixer</t>
  </si>
  <si>
    <t>Headphones</t>
  </si>
  <si>
    <t>Lamp</t>
  </si>
  <si>
    <t>Smartphone</t>
  </si>
  <si>
    <t>Cookware</t>
  </si>
  <si>
    <t>Jeans</t>
  </si>
  <si>
    <t>Haircare</t>
  </si>
  <si>
    <t>Skincare</t>
  </si>
  <si>
    <t>Makeup</t>
  </si>
  <si>
    <t>Shirt</t>
  </si>
  <si>
    <t>Mattress</t>
  </si>
  <si>
    <t>Tablet</t>
  </si>
  <si>
    <t>Dress</t>
  </si>
  <si>
    <t>Furniture</t>
  </si>
  <si>
    <t>Jacket</t>
  </si>
  <si>
    <t>Nail Polish</t>
  </si>
  <si>
    <t>Shoes</t>
  </si>
  <si>
    <t>Perfume</t>
  </si>
  <si>
    <t>Customer_16</t>
  </si>
  <si>
    <t>Customer_3</t>
  </si>
  <si>
    <t>Customer_46</t>
  </si>
  <si>
    <t>Customer_45</t>
  </si>
  <si>
    <t>Customer_25</t>
  </si>
  <si>
    <t>Customer_26</t>
  </si>
  <si>
    <t>Customer_38</t>
  </si>
  <si>
    <t>Customer_10</t>
  </si>
  <si>
    <t>Customer_34</t>
  </si>
  <si>
    <t>Customer_50</t>
  </si>
  <si>
    <t>Customer_33</t>
  </si>
  <si>
    <t>Customer_32</t>
  </si>
  <si>
    <t>Customer_9</t>
  </si>
  <si>
    <t>Customer_15</t>
  </si>
  <si>
    <t>Customer_18</t>
  </si>
  <si>
    <t>Customer_27</t>
  </si>
  <si>
    <t>Customer_44</t>
  </si>
  <si>
    <t>Customer_13</t>
  </si>
  <si>
    <t>Customer_5</t>
  </si>
  <si>
    <t>Customer_11</t>
  </si>
  <si>
    <t>Customer_1</t>
  </si>
  <si>
    <t>Customer_19</t>
  </si>
  <si>
    <t>Customer_4</t>
  </si>
  <si>
    <t>Customer_39</t>
  </si>
  <si>
    <t>Customer_40</t>
  </si>
  <si>
    <t>Customer_43</t>
  </si>
  <si>
    <t>Customer_49</t>
  </si>
  <si>
    <t>Customer_17</t>
  </si>
  <si>
    <t>Customer_36</t>
  </si>
  <si>
    <t>Customer_28</t>
  </si>
  <si>
    <t>Customer_31</t>
  </si>
  <si>
    <t>Customer_24</t>
  </si>
  <si>
    <t>Customer_14</t>
  </si>
  <si>
    <t>Customer_6</t>
  </si>
  <si>
    <t>Customer_12</t>
  </si>
  <si>
    <t>Customer_30</t>
  </si>
  <si>
    <t>Customer_41</t>
  </si>
  <si>
    <t>Customer_21</t>
  </si>
  <si>
    <t>Customer_23</t>
  </si>
  <si>
    <t>Customer_22</t>
  </si>
  <si>
    <t>Customer_48</t>
  </si>
  <si>
    <t>Customer_37</t>
  </si>
  <si>
    <t>Customer_47</t>
  </si>
  <si>
    <t>Customer_29</t>
  </si>
  <si>
    <t>Customer_8</t>
  </si>
  <si>
    <t>Customer_7</t>
  </si>
  <si>
    <t>Customer_20</t>
  </si>
  <si>
    <t>Customer_42</t>
  </si>
  <si>
    <t>Customer_35</t>
  </si>
  <si>
    <t>Customer_2</t>
  </si>
  <si>
    <t>East</t>
  </si>
  <si>
    <t>West</t>
  </si>
  <si>
    <t>South</t>
  </si>
  <si>
    <t>North</t>
  </si>
  <si>
    <t>Total sales</t>
  </si>
  <si>
    <t>April</t>
  </si>
  <si>
    <t>January</t>
  </si>
  <si>
    <t>November</t>
  </si>
  <si>
    <t>August</t>
  </si>
  <si>
    <t>February</t>
  </si>
  <si>
    <t>May</t>
  </si>
  <si>
    <t>December</t>
  </si>
  <si>
    <t>June</t>
  </si>
  <si>
    <t>July</t>
  </si>
  <si>
    <t>October</t>
  </si>
  <si>
    <t>March</t>
  </si>
  <si>
    <t>September</t>
  </si>
  <si>
    <t>months</t>
  </si>
  <si>
    <t>Total sale</t>
  </si>
  <si>
    <t>profit</t>
  </si>
  <si>
    <t>region</t>
  </si>
  <si>
    <t>total sales</t>
  </si>
  <si>
    <t>Row Labels</t>
  </si>
  <si>
    <t>Grand Total</t>
  </si>
  <si>
    <t>Column Labels</t>
  </si>
  <si>
    <t xml:space="preserve">Total sales </t>
  </si>
  <si>
    <t>Sum of total sales</t>
  </si>
  <si>
    <t>(All)</t>
  </si>
  <si>
    <t>Sum of Sales</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</si>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</sst>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22"/>
      <color theme="1"/>
      <name val="Calibri"/>
      <family val="2"/>
      <scheme val="minor"/>
    </font>
    <font>
      <sz val="8"/>
      <color theme="1"/>
      <name val="Calibri"/>
      <family val="2"/>
      <scheme val="minor"/>
    </font>
    <font>
      <b/>
      <sz val="22"/>
      <color theme="5" tint="-0.499984740745262"/>
      <name val="Calibri"/>
      <family val="2"/>
      <scheme val="minor"/>
    </font>
    <font>
      <sz val="22"/>
      <color theme="5" tint="-0.499984740745262"/>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4" fontId="0" fillId="0" borderId="0" xfId="0" applyNumberFormat="1"/>
    <xf numFmtId="0" fontId="0" fillId="2" borderId="0" xfId="0" applyFill="1"/>
    <xf numFmtId="0" fontId="0" fillId="0" borderId="0" xfId="0"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0" fontId="1" fillId="2" borderId="1" xfId="0" applyFont="1" applyFill="1" applyBorder="1" applyAlignment="1">
      <alignment horizontal="left"/>
    </xf>
    <xf numFmtId="0" fontId="0" fillId="0" borderId="1" xfId="0" applyBorder="1"/>
    <xf numFmtId="0" fontId="1" fillId="2" borderId="1" xfId="0" applyFont="1" applyFill="1" applyBorder="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xf numFmtId="0" fontId="0" fillId="0" borderId="0" xfId="0" applyBorder="1"/>
    <xf numFmtId="0" fontId="4" fillId="3" borderId="2" xfId="0" applyFont="1" applyFill="1" applyBorder="1"/>
    <xf numFmtId="0" fontId="5" fillId="3" borderId="3" xfId="0" applyFont="1" applyFill="1" applyBorder="1"/>
    <xf numFmtId="0" fontId="5" fillId="3" borderId="4" xfId="0" applyFont="1" applyFill="1" applyBorder="1"/>
  </cellXfs>
  <cellStyles count="1">
    <cellStyle name="Normal" xfId="0" builtinId="0"/>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Regional</a:t>
            </a:r>
            <a:r>
              <a:rPr lang="en-US" baseline="0"/>
              <a:t> Sales Distribution</a:t>
            </a:r>
            <a:endParaRPr lang="en-US"/>
          </a:p>
        </c:rich>
      </c:tx>
      <c:layout>
        <c:manualLayout>
          <c:xMode val="edge"/>
          <c:yMode val="edge"/>
          <c:x val="0.20627853881278538"/>
          <c:y val="3.32225913621262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508197605436308E-2"/>
          <c:y val="0.18248532886877514"/>
          <c:w val="0.91527057981388704"/>
          <c:h val="0.73068672386100986"/>
        </c:manualLayout>
      </c:layout>
      <c:pie3DChart>
        <c:varyColors val="1"/>
        <c:ser>
          <c:idx val="0"/>
          <c:order val="0"/>
          <c:tx>
            <c:strRef>
              <c:f>'working sheet'!$B$15</c:f>
              <c:strCache>
                <c:ptCount val="1"/>
                <c:pt idx="0">
                  <c:v>total sales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cat>
            <c:strRef>
              <c:f>'working sheet'!$A$16:$A$19</c:f>
              <c:strCache>
                <c:ptCount val="4"/>
                <c:pt idx="0">
                  <c:v>South</c:v>
                </c:pt>
                <c:pt idx="1">
                  <c:v>North</c:v>
                </c:pt>
                <c:pt idx="2">
                  <c:v>East</c:v>
                </c:pt>
                <c:pt idx="3">
                  <c:v>West</c:v>
                </c:pt>
              </c:strCache>
            </c:strRef>
          </c:cat>
          <c:val>
            <c:numRef>
              <c:f>'working sheet'!$B$16:$B$19</c:f>
              <c:numCache>
                <c:formatCode>General</c:formatCode>
                <c:ptCount val="4"/>
                <c:pt idx="0">
                  <c:v>74861</c:v>
                </c:pt>
                <c:pt idx="1">
                  <c:v>77413</c:v>
                </c:pt>
                <c:pt idx="2">
                  <c:v>83315</c:v>
                </c:pt>
                <c:pt idx="3">
                  <c:v>106526</c:v>
                </c:pt>
              </c:numCache>
            </c:numRef>
          </c:val>
        </c:ser>
        <c:dLbls>
          <c:dLblPos val="ctr"/>
          <c:showLegendKey val="0"/>
          <c:showVal val="0"/>
          <c:showCatName val="0"/>
          <c:showSerName val="0"/>
          <c:showPercent val="0"/>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 Sales vs profit Analysis</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50503062117229E-2"/>
          <c:y val="0.21477146042363437"/>
          <c:w val="0.83944116360454946"/>
          <c:h val="0.65034410414417265"/>
        </c:manualLayout>
      </c:layout>
      <c:scatterChart>
        <c:scatterStyle val="lineMarker"/>
        <c:varyColors val="0"/>
        <c:ser>
          <c:idx val="0"/>
          <c:order val="0"/>
          <c:tx>
            <c:strRef>
              <c:f>'working sheet'!$C$1</c:f>
              <c:strCache>
                <c:ptCount val="1"/>
                <c:pt idx="0">
                  <c:v>profit</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'working sheet'!$B$2:$B$13</c:f>
              <c:numCache>
                <c:formatCode>General</c:formatCode>
                <c:ptCount val="12"/>
                <c:pt idx="0">
                  <c:v>23166</c:v>
                </c:pt>
                <c:pt idx="1">
                  <c:v>24141</c:v>
                </c:pt>
                <c:pt idx="2">
                  <c:v>28769</c:v>
                </c:pt>
                <c:pt idx="3">
                  <c:v>37235</c:v>
                </c:pt>
                <c:pt idx="4">
                  <c:v>23911</c:v>
                </c:pt>
                <c:pt idx="5">
                  <c:v>40100</c:v>
                </c:pt>
                <c:pt idx="6">
                  <c:v>18858</c:v>
                </c:pt>
                <c:pt idx="7">
                  <c:v>49519</c:v>
                </c:pt>
                <c:pt idx="8">
                  <c:v>23753</c:v>
                </c:pt>
                <c:pt idx="9">
                  <c:v>22107</c:v>
                </c:pt>
                <c:pt idx="10">
                  <c:v>15398</c:v>
                </c:pt>
                <c:pt idx="11">
                  <c:v>35158</c:v>
                </c:pt>
              </c:numCache>
            </c:numRef>
          </c:xVal>
          <c:yVal>
            <c:numRef>
              <c:f>'working sheet'!$C$2:$C$13</c:f>
              <c:numCache>
                <c:formatCode>General</c:formatCode>
                <c:ptCount val="12"/>
                <c:pt idx="0">
                  <c:v>947</c:v>
                </c:pt>
                <c:pt idx="1">
                  <c:v>928</c:v>
                </c:pt>
                <c:pt idx="2">
                  <c:v>1279</c:v>
                </c:pt>
                <c:pt idx="3">
                  <c:v>2082</c:v>
                </c:pt>
                <c:pt idx="4">
                  <c:v>976</c:v>
                </c:pt>
                <c:pt idx="5">
                  <c:v>1930</c:v>
                </c:pt>
                <c:pt idx="6">
                  <c:v>1390</c:v>
                </c:pt>
                <c:pt idx="7">
                  <c:v>2211</c:v>
                </c:pt>
                <c:pt idx="8">
                  <c:v>1134</c:v>
                </c:pt>
                <c:pt idx="9">
                  <c:v>1435</c:v>
                </c:pt>
                <c:pt idx="10">
                  <c:v>605</c:v>
                </c:pt>
                <c:pt idx="11">
                  <c:v>1726</c:v>
                </c:pt>
              </c:numCache>
            </c:numRef>
          </c:yVal>
          <c:smooth val="0"/>
        </c:ser>
        <c:dLbls>
          <c:showLegendKey val="0"/>
          <c:showVal val="0"/>
          <c:showCatName val="0"/>
          <c:showSerName val="0"/>
          <c:showPercent val="0"/>
          <c:showBubbleSize val="0"/>
        </c:dLbls>
        <c:axId val="313870440"/>
        <c:axId val="313871224"/>
      </c:scatterChart>
      <c:valAx>
        <c:axId val="31387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71224"/>
        <c:crosses val="autoZero"/>
        <c:crossBetween val="midCat"/>
      </c:valAx>
      <c:valAx>
        <c:axId val="3138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70440"/>
        <c:crosses val="autoZero"/>
        <c:crossBetween val="midCat"/>
      </c:valAx>
      <c:spPr>
        <a:noFill/>
        <a:ln>
          <a:noFill/>
        </a:ln>
        <a:effectLst/>
      </c:spPr>
    </c:plotArea>
    <c:plotVisOnly val="1"/>
    <c:dispBlanksAs val="gap"/>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Monthly</a:t>
            </a:r>
            <a:r>
              <a:rPr lang="en-US" baseline="0"/>
              <a:t> Sales Trend</a:t>
            </a:r>
            <a:endParaRPr lang="en-US"/>
          </a:p>
        </c:rich>
      </c:tx>
      <c:layout>
        <c:manualLayout>
          <c:xMode val="edge"/>
          <c:yMode val="edge"/>
          <c:x val="0.34458128078817735"/>
          <c:y val="4.731859239814186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1281124885658995"/>
          <c:y val="0.14906498470763752"/>
          <c:w val="0.85800019305817943"/>
          <c:h val="0.6255937991819972"/>
        </c:manualLayout>
      </c:layout>
      <c:lineChart>
        <c:grouping val="standard"/>
        <c:varyColors val="0"/>
        <c:ser>
          <c:idx val="0"/>
          <c:order val="0"/>
          <c:tx>
            <c:strRef>
              <c:f>'working sheet'!$B$1</c:f>
              <c:strCache>
                <c:ptCount val="1"/>
                <c:pt idx="0">
                  <c:v>Total sale</c:v>
                </c:pt>
              </c:strCache>
            </c:strRef>
          </c:tx>
          <c:spPr>
            <a:ln w="22225" cap="rnd">
              <a:solidFill>
                <a:schemeClr val="accent1"/>
              </a:solidFill>
            </a:ln>
            <a:effectLst>
              <a:glow rad="139700">
                <a:schemeClr val="accent1">
                  <a:satMod val="175000"/>
                  <a:alpha val="14000"/>
                </a:schemeClr>
              </a:glow>
            </a:effectLst>
          </c:spPr>
          <c:marker>
            <c:symbol val="none"/>
          </c:marker>
          <c:cat>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 sheet'!$B$2:$B$13</c:f>
              <c:numCache>
                <c:formatCode>General</c:formatCode>
                <c:ptCount val="12"/>
                <c:pt idx="0">
                  <c:v>23166</c:v>
                </c:pt>
                <c:pt idx="1">
                  <c:v>24141</c:v>
                </c:pt>
                <c:pt idx="2">
                  <c:v>28769</c:v>
                </c:pt>
                <c:pt idx="3">
                  <c:v>37235</c:v>
                </c:pt>
                <c:pt idx="4">
                  <c:v>23911</c:v>
                </c:pt>
                <c:pt idx="5">
                  <c:v>40100</c:v>
                </c:pt>
                <c:pt idx="6">
                  <c:v>18858</c:v>
                </c:pt>
                <c:pt idx="7">
                  <c:v>49519</c:v>
                </c:pt>
                <c:pt idx="8">
                  <c:v>23753</c:v>
                </c:pt>
                <c:pt idx="9">
                  <c:v>22107</c:v>
                </c:pt>
                <c:pt idx="10">
                  <c:v>15398</c:v>
                </c:pt>
                <c:pt idx="11">
                  <c:v>35158</c:v>
                </c:pt>
              </c:numCache>
            </c:numRef>
          </c:val>
          <c:smooth val="0"/>
        </c:ser>
        <c:dLbls>
          <c:showLegendKey val="0"/>
          <c:showVal val="0"/>
          <c:showCatName val="0"/>
          <c:showSerName val="0"/>
          <c:showPercent val="0"/>
          <c:showBubbleSize val="0"/>
        </c:dLbls>
        <c:smooth val="0"/>
        <c:axId val="313873968"/>
        <c:axId val="313867696"/>
      </c:lineChart>
      <c:catAx>
        <c:axId val="313873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3867696"/>
        <c:crosses val="autoZero"/>
        <c:auto val="1"/>
        <c:lblAlgn val="ctr"/>
        <c:lblOffset val="100"/>
        <c:noMultiLvlLbl val="0"/>
      </c:catAx>
      <c:valAx>
        <c:axId val="313867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387396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a:t>
            </a:r>
            <a:r>
              <a:rPr lang="en-IN" baseline="0"/>
              <a:t> Total Sales</a:t>
            </a:r>
          </a:p>
          <a:p>
            <a:pPr>
              <a:defRPr/>
            </a:pP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469816272965883E-2"/>
          <c:y val="0.17374999999999999"/>
          <c:w val="0.86486351706036746"/>
          <c:h val="0.48639399241761444"/>
        </c:manualLayout>
      </c:layout>
      <c:barChart>
        <c:barDir val="col"/>
        <c:grouping val="clustered"/>
        <c:varyColors val="0"/>
        <c:ser>
          <c:idx val="0"/>
          <c:order val="0"/>
          <c:tx>
            <c:strRef>
              <c:f>'working sheet'!$B$1</c:f>
              <c:strCache>
                <c:ptCount val="1"/>
                <c:pt idx="0">
                  <c:v>Total sale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 sheet'!$B$2:$B$13</c:f>
              <c:numCache>
                <c:formatCode>General</c:formatCode>
                <c:ptCount val="12"/>
                <c:pt idx="0">
                  <c:v>23166</c:v>
                </c:pt>
                <c:pt idx="1">
                  <c:v>24141</c:v>
                </c:pt>
                <c:pt idx="2">
                  <c:v>28769</c:v>
                </c:pt>
                <c:pt idx="3">
                  <c:v>37235</c:v>
                </c:pt>
                <c:pt idx="4">
                  <c:v>23911</c:v>
                </c:pt>
                <c:pt idx="5">
                  <c:v>40100</c:v>
                </c:pt>
                <c:pt idx="6">
                  <c:v>18858</c:v>
                </c:pt>
                <c:pt idx="7">
                  <c:v>49519</c:v>
                </c:pt>
                <c:pt idx="8">
                  <c:v>23753</c:v>
                </c:pt>
                <c:pt idx="9">
                  <c:v>22107</c:v>
                </c:pt>
                <c:pt idx="10">
                  <c:v>15398</c:v>
                </c:pt>
                <c:pt idx="11">
                  <c:v>35158</c:v>
                </c:pt>
              </c:numCache>
            </c:numRef>
          </c:val>
        </c:ser>
        <c:ser>
          <c:idx val="1"/>
          <c:order val="1"/>
          <c:tx>
            <c:strRef>
              <c:f>'working sheet'!$C$1</c:f>
              <c:strCache>
                <c:ptCount val="1"/>
                <c:pt idx="0">
                  <c:v>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 sheet'!$C$2:$C$13</c:f>
              <c:numCache>
                <c:formatCode>General</c:formatCode>
                <c:ptCount val="12"/>
                <c:pt idx="0">
                  <c:v>947</c:v>
                </c:pt>
                <c:pt idx="1">
                  <c:v>928</c:v>
                </c:pt>
                <c:pt idx="2">
                  <c:v>1279</c:v>
                </c:pt>
                <c:pt idx="3">
                  <c:v>2082</c:v>
                </c:pt>
                <c:pt idx="4">
                  <c:v>976</c:v>
                </c:pt>
                <c:pt idx="5">
                  <c:v>1930</c:v>
                </c:pt>
                <c:pt idx="6">
                  <c:v>1390</c:v>
                </c:pt>
                <c:pt idx="7">
                  <c:v>2211</c:v>
                </c:pt>
                <c:pt idx="8">
                  <c:v>1134</c:v>
                </c:pt>
                <c:pt idx="9">
                  <c:v>1435</c:v>
                </c:pt>
                <c:pt idx="10">
                  <c:v>605</c:v>
                </c:pt>
                <c:pt idx="11">
                  <c:v>1726</c:v>
                </c:pt>
              </c:numCache>
            </c:numRef>
          </c:val>
        </c:ser>
        <c:dLbls>
          <c:showLegendKey val="0"/>
          <c:showVal val="0"/>
          <c:showCatName val="0"/>
          <c:showSerName val="0"/>
          <c:showPercent val="0"/>
          <c:showBubbleSize val="0"/>
        </c:dLbls>
        <c:gapWidth val="100"/>
        <c:overlap val="-24"/>
        <c:axId val="313868480"/>
        <c:axId val="313868872"/>
      </c:barChart>
      <c:catAx>
        <c:axId val="313868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68872"/>
        <c:crosses val="autoZero"/>
        <c:auto val="1"/>
        <c:lblAlgn val="ctr"/>
        <c:lblOffset val="100"/>
        <c:noMultiLvlLbl val="0"/>
      </c:catAx>
      <c:valAx>
        <c:axId val="313868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684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1.xlsx]working sheet!PivotTable3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Regional 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'working sheet'!$G$16:$G$17</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sheet'!$F$18:$F$22</c:f>
              <c:strCache>
                <c:ptCount val="4"/>
                <c:pt idx="0">
                  <c:v>East</c:v>
                </c:pt>
                <c:pt idx="1">
                  <c:v>North</c:v>
                </c:pt>
                <c:pt idx="2">
                  <c:v>South</c:v>
                </c:pt>
                <c:pt idx="3">
                  <c:v>West</c:v>
                </c:pt>
              </c:strCache>
            </c:strRef>
          </c:cat>
          <c:val>
            <c:numRef>
              <c:f>'working sheet'!$G$18:$G$22</c:f>
              <c:numCache>
                <c:formatCode>General</c:formatCode>
                <c:ptCount val="4"/>
                <c:pt idx="0">
                  <c:v>19068</c:v>
                </c:pt>
                <c:pt idx="1">
                  <c:v>38438</c:v>
                </c:pt>
                <c:pt idx="2">
                  <c:v>34133</c:v>
                </c:pt>
                <c:pt idx="3">
                  <c:v>27369</c:v>
                </c:pt>
              </c:numCache>
            </c:numRef>
          </c:val>
        </c:ser>
        <c:ser>
          <c:idx val="1"/>
          <c:order val="1"/>
          <c:tx>
            <c:strRef>
              <c:f>'working sheet'!$H$16:$H$17</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sheet'!$F$18:$F$22</c:f>
              <c:strCache>
                <c:ptCount val="4"/>
                <c:pt idx="0">
                  <c:v>East</c:v>
                </c:pt>
                <c:pt idx="1">
                  <c:v>North</c:v>
                </c:pt>
                <c:pt idx="2">
                  <c:v>South</c:v>
                </c:pt>
                <c:pt idx="3">
                  <c:v>West</c:v>
                </c:pt>
              </c:strCache>
            </c:strRef>
          </c:cat>
          <c:val>
            <c:numRef>
              <c:f>'working sheet'!$H$18:$H$22</c:f>
              <c:numCache>
                <c:formatCode>General</c:formatCode>
                <c:ptCount val="4"/>
                <c:pt idx="0">
                  <c:v>28533</c:v>
                </c:pt>
                <c:pt idx="1">
                  <c:v>28327</c:v>
                </c:pt>
                <c:pt idx="2">
                  <c:v>23706</c:v>
                </c:pt>
                <c:pt idx="3">
                  <c:v>35858</c:v>
                </c:pt>
              </c:numCache>
            </c:numRef>
          </c:val>
        </c:ser>
        <c:ser>
          <c:idx val="2"/>
          <c:order val="2"/>
          <c:tx>
            <c:strRef>
              <c:f>'working sheet'!$I$16:$I$17</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sheet'!$F$18:$F$22</c:f>
              <c:strCache>
                <c:ptCount val="4"/>
                <c:pt idx="0">
                  <c:v>East</c:v>
                </c:pt>
                <c:pt idx="1">
                  <c:v>North</c:v>
                </c:pt>
                <c:pt idx="2">
                  <c:v>South</c:v>
                </c:pt>
                <c:pt idx="3">
                  <c:v>West</c:v>
                </c:pt>
              </c:strCache>
            </c:strRef>
          </c:cat>
          <c:val>
            <c:numRef>
              <c:f>'working sheet'!$I$18:$I$22</c:f>
              <c:numCache>
                <c:formatCode>General</c:formatCode>
                <c:ptCount val="4"/>
                <c:pt idx="0">
                  <c:v>33946</c:v>
                </c:pt>
                <c:pt idx="1">
                  <c:v>27166</c:v>
                </c:pt>
                <c:pt idx="2">
                  <c:v>34691</c:v>
                </c:pt>
                <c:pt idx="3">
                  <c:v>22729</c:v>
                </c:pt>
              </c:numCache>
            </c:numRef>
          </c:val>
        </c:ser>
        <c:ser>
          <c:idx val="3"/>
          <c:order val="3"/>
          <c:tx>
            <c:strRef>
              <c:f>'working sheet'!$J$16:$J$17</c:f>
              <c:strCache>
                <c:ptCount val="1"/>
                <c:pt idx="0">
                  <c:v>Home &amp; Kitchen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 sheet'!$F$18:$F$22</c:f>
              <c:strCache>
                <c:ptCount val="4"/>
                <c:pt idx="0">
                  <c:v>East</c:v>
                </c:pt>
                <c:pt idx="1">
                  <c:v>North</c:v>
                </c:pt>
                <c:pt idx="2">
                  <c:v>South</c:v>
                </c:pt>
                <c:pt idx="3">
                  <c:v>West</c:v>
                </c:pt>
              </c:strCache>
            </c:strRef>
          </c:cat>
          <c:val>
            <c:numRef>
              <c:f>'working sheet'!$J$18:$J$22</c:f>
              <c:numCache>
                <c:formatCode>General</c:formatCode>
                <c:ptCount val="4"/>
                <c:pt idx="0">
                  <c:v>30138</c:v>
                </c:pt>
                <c:pt idx="1">
                  <c:v>25320</c:v>
                </c:pt>
                <c:pt idx="2">
                  <c:v>43918</c:v>
                </c:pt>
                <c:pt idx="3">
                  <c:v>33852</c:v>
                </c:pt>
              </c:numCache>
            </c:numRef>
          </c:val>
        </c:ser>
        <c:dLbls>
          <c:showLegendKey val="0"/>
          <c:showVal val="0"/>
          <c:showCatName val="0"/>
          <c:showSerName val="0"/>
          <c:showPercent val="0"/>
          <c:showBubbleSize val="0"/>
        </c:dLbls>
        <c:gapWidth val="100"/>
        <c:overlap val="-24"/>
        <c:axId val="482146856"/>
        <c:axId val="482146072"/>
      </c:barChart>
      <c:catAx>
        <c:axId val="482146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46072"/>
        <c:crosses val="autoZero"/>
        <c:auto val="1"/>
        <c:lblAlgn val="ctr"/>
        <c:lblOffset val="100"/>
        <c:noMultiLvlLbl val="0"/>
      </c:catAx>
      <c:valAx>
        <c:axId val="482146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46856"/>
        <c:crosses val="autoZero"/>
        <c:crossBetween val="between"/>
      </c:valAx>
      <c:spPr>
        <a:noFill/>
        <a:ln>
          <a:noFill/>
        </a:ln>
        <a:effectLst/>
      </c:spPr>
    </c:plotArea>
    <c:legend>
      <c:legendPos val="r"/>
      <c:layout>
        <c:manualLayout>
          <c:xMode val="edge"/>
          <c:yMode val="edge"/>
          <c:x val="0.73931158605174352"/>
          <c:y val="0.31305562989913704"/>
          <c:w val="0.23626486027481861"/>
          <c:h val="0.402107843137254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6">
            <a:lumMod val="40000"/>
            <a:lumOff val="60000"/>
          </a:schemeClr>
        </a:gs>
        <a:gs pos="0">
          <a:schemeClr val="accent1">
            <a:lumMod val="45000"/>
            <a:lumOff val="55000"/>
          </a:schemeClr>
        </a:gs>
        <a:gs pos="100000">
          <a:schemeClr val="bg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Drop" dropStyle="combo" dx="20" fmlaLink="'working sheet'!$F$7" fmlaRange="'working sheet'!$F$2:$F$5" noThreeD="1" sel="3"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276225</xdr:colOff>
      <xdr:row>0</xdr:row>
      <xdr:rowOff>24762</xdr:rowOff>
    </xdr:from>
    <xdr:to>
      <xdr:col>23</xdr:col>
      <xdr:colOff>190500</xdr:colOff>
      <xdr:row>41</xdr:row>
      <xdr:rowOff>77253</xdr:rowOff>
    </xdr:to>
    <xdr:pic>
      <xdr:nvPicPr>
        <xdr:cNvPr id="3" name="Picture 2">
          <a:extLst>
            <a:ext uri="{FF2B5EF4-FFF2-40B4-BE49-F238E27FC236}">
              <a16:creationId xmlns="" xmlns:a16="http://schemas.microsoft.com/office/drawing/2014/main" id="{613923D5-63E3-89A6-BB0B-FF4CCCEB708B}"/>
            </a:ext>
          </a:extLst>
        </xdr:cNvPr>
        <xdr:cNvPicPr>
          <a:picLocks noChangeAspect="1"/>
        </xdr:cNvPicPr>
      </xdr:nvPicPr>
      <xdr:blipFill>
        <a:blip xmlns:r="http://schemas.openxmlformats.org/officeDocument/2006/relationships" r:embed="rId1"/>
        <a:stretch>
          <a:fillRect/>
        </a:stretch>
      </xdr:blipFill>
      <xdr:spPr>
        <a:xfrm>
          <a:off x="4543425" y="24762"/>
          <a:ext cx="9620250" cy="78629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243840</xdr:colOff>
      <xdr:row>15</xdr:row>
      <xdr:rowOff>30480</xdr:rowOff>
    </xdr:from>
    <xdr:to>
      <xdr:col>22</xdr:col>
      <xdr:colOff>358140</xdr:colOff>
      <xdr:row>28</xdr:row>
      <xdr:rowOff>30480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15</xdr:row>
      <xdr:rowOff>45720</xdr:rowOff>
    </xdr:from>
    <xdr:to>
      <xdr:col>14</xdr:col>
      <xdr:colOff>502920</xdr:colOff>
      <xdr:row>27</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220980</xdr:colOff>
      <xdr:row>1</xdr:row>
      <xdr:rowOff>121920</xdr:rowOff>
    </xdr:from>
    <xdr:to>
      <xdr:col>22</xdr:col>
      <xdr:colOff>342900</xdr:colOff>
      <xdr:row>14</xdr:row>
      <xdr:rowOff>137160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251460</xdr:colOff>
      <xdr:row>1</xdr:row>
      <xdr:rowOff>144780</xdr:rowOff>
    </xdr:from>
    <xdr:to>
      <xdr:col>14</xdr:col>
      <xdr:colOff>502920</xdr:colOff>
      <xdr:row>14</xdr:row>
      <xdr:rowOff>137160</xdr:rowOff>
    </xdr:to>
    <xdr:graphicFrame macro="">
      <xdr:nvGraphicFramePr>
        <xdr:cNvPr id="7"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83821</xdr:rowOff>
    </xdr:from>
    <xdr:to>
      <xdr:col>6</xdr:col>
      <xdr:colOff>487680</xdr:colOff>
      <xdr:row>28</xdr:row>
      <xdr:rowOff>114301</xdr:rowOff>
    </xdr:to>
    <xdr:graphicFrame macro="">
      <xdr:nvGraphicFramePr>
        <xdr:cNvPr id="6"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144780</xdr:rowOff>
    </xdr:from>
    <xdr:to>
      <xdr:col>2</xdr:col>
      <xdr:colOff>267287</xdr:colOff>
      <xdr:row>13</xdr:row>
      <xdr:rowOff>11577</xdr:rowOff>
    </xdr:to>
    <mc:AlternateContent xmlns:mc="http://schemas.openxmlformats.org/markup-compatibility/2006">
      <mc:Choice xmlns:a14="http://schemas.microsoft.com/office/drawing/2010/main" Requires="a14">
        <xdr:graphicFrame macro="">
          <xdr:nvGraphicFramePr>
            <xdr:cNvPr id="1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144780"/>
              <a:ext cx="1486487" cy="2427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243840</xdr:colOff>
          <xdr:row>4</xdr:row>
          <xdr:rowOff>83820</xdr:rowOff>
        </xdr:from>
        <xdr:to>
          <xdr:col>6</xdr:col>
          <xdr:colOff>68580</xdr:colOff>
          <xdr:row>6</xdr:row>
          <xdr:rowOff>152400</xdr:rowOff>
        </xdr:to>
        <xdr:sp macro="" textlink="">
          <xdr:nvSpPr>
            <xdr:cNvPr id="4103" name="Drop Down 7" hidden="1">
              <a:extLst>
                <a:ext uri="{63B3BB69-23CF-44E3-9099-C40C66FF867C}">
                  <a14:compatExt spid="_x0000_s4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anisharani" refreshedDate="46028.874288078703" createdVersion="5" refreshedVersion="5" minRefreshableVersion="3" recordCount="4">
  <cacheSource type="worksheet">
    <worksheetSource ref="A15:B19" sheet="working sheet"/>
  </cacheSource>
  <cacheFields count="2">
    <cacheField name="region" numFmtId="0">
      <sharedItems count="4">
        <s v="South"/>
        <s v="North"/>
        <s v="East"/>
        <s v="West"/>
      </sharedItems>
    </cacheField>
    <cacheField name="total sales" numFmtId="0">
      <sharedItems containsSemiMixedTypes="0" containsString="0" containsNumber="1" containsInteger="1" minValue="80318" maxValue="15453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anisharani" refreshedDate="46028.875003009256" createdVersion="5" refreshedVersion="5" minRefreshableVersion="3" recordCount="500">
  <cacheSource type="worksheet">
    <worksheetSource ref="A1:K501" sheet="Data"/>
  </cacheSource>
  <cacheFields count="11">
    <cacheField name="Order ID" numFmtId="0">
      <sharedItems/>
    </cacheField>
    <cacheField name="Order Date" numFmtId="14">
      <sharedItems containsSemiMixedTypes="0" containsNonDate="0" containsDate="1" containsString="0" minDate="2023-01-01T00:00:00" maxDate="2024-01-01T00:00:00"/>
    </cacheField>
    <cacheField name="Category" numFmtId="0">
      <sharedItems count="4">
        <s v="Electronics"/>
        <s v="Home &amp; Kitchen"/>
        <s v="Clothing"/>
        <s v="Beauty"/>
      </sharedItems>
    </cacheField>
    <cacheField name="Sub-Category" numFmtId="0">
      <sharedItems containsMixedTypes="1" containsNumber="1" containsInteger="1" minValue="0" maxValue="0"/>
    </cacheField>
    <cacheField name="Customer Name" numFmtId="0">
      <sharedItems/>
    </cacheField>
    <cacheField name="Region" numFmtId="0">
      <sharedItems count="4">
        <s v="East"/>
        <s v="West"/>
        <s v="South"/>
        <s v="North"/>
      </sharedItems>
    </cacheField>
    <cacheField name="Sales" numFmtId="0">
      <sharedItems containsSemiMixedTypes="0" containsString="0" containsNumber="1" containsInteger="1" minValue="55" maxValue="1998"/>
    </cacheField>
    <cacheField name="Quantity" numFmtId="0">
      <sharedItems containsSemiMixedTypes="0" containsString="0" containsNumber="1" containsInteger="1" minValue="1" maxValue="5"/>
    </cacheField>
    <cacheField name="Profit" numFmtId="0">
      <sharedItems containsSemiMixedTypes="0" containsString="0" containsNumber="1" containsInteger="1" minValue="4" maxValue="476"/>
    </cacheField>
    <cacheField name="Total sales" numFmtId="0">
      <sharedItems containsSemiMixedTypes="0" containsString="0" containsNumber="1" containsInteger="1" minValue="55" maxValue="9895"/>
    </cacheField>
    <cacheField name="month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
  <r>
    <x v="0"/>
    <n v="154538"/>
  </r>
  <r>
    <x v="1"/>
    <n v="80318"/>
  </r>
  <r>
    <x v="2"/>
    <n v="88365"/>
  </r>
  <r>
    <x v="3"/>
    <n v="106438"/>
  </r>
</pivotCacheRecords>
</file>

<file path=xl/pivotCache/pivotCacheRecords2.xml><?xml version="1.0" encoding="utf-8"?>
<pivotCacheRecords xmlns="http://schemas.openxmlformats.org/spreadsheetml/2006/main" xmlns:r="http://schemas.openxmlformats.org/officeDocument/2006/relationships" count="500">
  <r>
    <s v="ORD0001"/>
    <d v="2023-04-25T00:00:00"/>
    <x v="0"/>
    <s v="Laptop"/>
    <s v="Customer_16"/>
    <x v="0"/>
    <n v="322"/>
    <n v="1"/>
    <n v="59"/>
    <n v="322"/>
    <s v="April"/>
  </r>
  <r>
    <s v="ORD0002"/>
    <d v="2023-01-16T00:00:00"/>
    <x v="0"/>
    <s v="Camera"/>
    <s v="Customer_3"/>
    <x v="1"/>
    <n v="232"/>
    <n v="2"/>
    <n v="35"/>
    <n v="464"/>
    <s v="January"/>
  </r>
  <r>
    <s v="ORD0003"/>
    <d v="2023-11-29T00:00:00"/>
    <x v="0"/>
    <s v="Camera"/>
    <s v="Customer_46"/>
    <x v="2"/>
    <n v="1417"/>
    <n v="4"/>
    <n v="133"/>
    <n v="5668"/>
    <s v="November"/>
  </r>
  <r>
    <s v="ORD0004"/>
    <d v="2023-08-05T00:00:00"/>
    <x v="1"/>
    <s v="Mixer"/>
    <s v="Customer_45"/>
    <x v="2"/>
    <n v="713"/>
    <n v="2"/>
    <n v="66"/>
    <n v="1426"/>
    <s v="August"/>
  </r>
  <r>
    <s v="ORD0005"/>
    <d v="2023-02-19T00:00:00"/>
    <x v="1"/>
    <s v="Mixer"/>
    <s v="Customer_25"/>
    <x v="3"/>
    <n v="750"/>
    <n v="3"/>
    <n v="128"/>
    <n v="2250"/>
    <s v="February"/>
  </r>
  <r>
    <s v="ORD0006"/>
    <d v="2023-02-10T00:00:00"/>
    <x v="0"/>
    <s v="Headphones"/>
    <s v="Customer_25"/>
    <x v="3"/>
    <n v="1126"/>
    <n v="5"/>
    <n v="255"/>
    <n v="5630"/>
    <s v="February"/>
  </r>
  <r>
    <s v="ORD0007"/>
    <d v="2023-02-05T00:00:00"/>
    <x v="1"/>
    <s v="Lamp"/>
    <s v="Customer_46"/>
    <x v="2"/>
    <n v="139"/>
    <n v="2"/>
    <n v="28"/>
    <n v="278"/>
    <s v="February"/>
  </r>
  <r>
    <s v="ORD0008"/>
    <d v="2023-05-23T00:00:00"/>
    <x v="0"/>
    <s v="Smartphone"/>
    <s v="Customer_25"/>
    <x v="3"/>
    <n v="934"/>
    <n v="3"/>
    <n v="77"/>
    <n v="2802"/>
    <s v="May"/>
  </r>
  <r>
    <s v="ORD0009"/>
    <d v="2023-12-16T00:00:00"/>
    <x v="1"/>
    <s v="Cookware"/>
    <s v="Customer_45"/>
    <x v="0"/>
    <n v="1313"/>
    <n v="5"/>
    <n v="232"/>
    <n v="6565"/>
    <s v="December"/>
  </r>
  <r>
    <s v="ORD0010"/>
    <d v="2023-05-19T00:00:00"/>
    <x v="2"/>
    <s v="Jeans"/>
    <s v="Customer_25"/>
    <x v="1"/>
    <n v="1979"/>
    <n v="5"/>
    <n v="185"/>
    <n v="9895"/>
    <s v="May"/>
  </r>
  <r>
    <s v="ORD0011"/>
    <d v="2023-06-11T00:00:00"/>
    <x v="1"/>
    <s v="Mixer"/>
    <s v="Customer_3"/>
    <x v="2"/>
    <n v="832"/>
    <n v="1"/>
    <n v="76"/>
    <n v="832"/>
    <s v="June"/>
  </r>
  <r>
    <s v="ORD0012"/>
    <d v="2023-11-26T00:00:00"/>
    <x v="1"/>
    <s v="Cookware"/>
    <s v="Customer_26"/>
    <x v="1"/>
    <n v="944"/>
    <n v="3"/>
    <n v="73"/>
    <n v="2832"/>
    <s v="November"/>
  </r>
  <r>
    <s v="ORD0013"/>
    <d v="2023-07-24T00:00:00"/>
    <x v="1"/>
    <s v="Lamp"/>
    <s v="Customer_38"/>
    <x v="1"/>
    <n v="755"/>
    <n v="2"/>
    <n v="114"/>
    <n v="1510"/>
    <s v="July"/>
  </r>
  <r>
    <s v="ORD0014"/>
    <d v="2023-11-18T00:00:00"/>
    <x v="0"/>
    <s v="Laptop"/>
    <s v="Customer_10"/>
    <x v="3"/>
    <n v="361"/>
    <n v="4"/>
    <n v="61"/>
    <n v="1444"/>
    <s v="November"/>
  </r>
  <r>
    <s v="ORD0015"/>
    <d v="2023-05-09T00:00:00"/>
    <x v="3"/>
    <s v="Haircare"/>
    <s v="Customer_34"/>
    <x v="1"/>
    <n v="1943"/>
    <n v="1"/>
    <n v="361"/>
    <n v="1943"/>
    <s v="May"/>
  </r>
  <r>
    <s v="ORD0016"/>
    <d v="2023-11-25T00:00:00"/>
    <x v="0"/>
    <s v="Camera"/>
    <s v="Customer_50"/>
    <x v="0"/>
    <n v="713"/>
    <n v="3"/>
    <n v="97"/>
    <n v="2139"/>
    <s v="November"/>
  </r>
  <r>
    <s v="ORD0017"/>
    <d v="2023-04-02T00:00:00"/>
    <x v="3"/>
    <s v="Skincare"/>
    <s v="Customer_33"/>
    <x v="0"/>
    <n v="1039"/>
    <n v="1"/>
    <n v="233"/>
    <n v="1039"/>
    <s v="April"/>
  </r>
  <r>
    <s v="ORD0018"/>
    <d v="2023-07-11T00:00:00"/>
    <x v="1"/>
    <s v="Lamp"/>
    <s v="Customer_10"/>
    <x v="2"/>
    <n v="1536"/>
    <n v="5"/>
    <n v="369"/>
    <n v="7680"/>
    <s v="July"/>
  </r>
  <r>
    <s v="ORD0019"/>
    <d v="2023-01-10T00:00:00"/>
    <x v="0"/>
    <s v="Camera"/>
    <s v="Customer_32"/>
    <x v="0"/>
    <n v="268"/>
    <n v="3"/>
    <n v="60"/>
    <n v="804"/>
    <s v="January"/>
  </r>
  <r>
    <s v="ORD0020"/>
    <d v="2023-10-18T00:00:00"/>
    <x v="1"/>
    <s v="Cookware"/>
    <s v="Customer_16"/>
    <x v="3"/>
    <n v="1896"/>
    <n v="1"/>
    <n v="372"/>
    <n v="1896"/>
    <s v="October"/>
  </r>
  <r>
    <s v="ORD0021"/>
    <d v="2023-12-04T00:00:00"/>
    <x v="0"/>
    <s v="Camera"/>
    <s v="Customer_9"/>
    <x v="2"/>
    <n v="976"/>
    <n v="5"/>
    <n v="81"/>
    <n v="4880"/>
    <s v="December"/>
  </r>
  <r>
    <s v="ORD0022"/>
    <d v="2023-06-09T00:00:00"/>
    <x v="3"/>
    <s v="Makeup"/>
    <s v="Customer_46"/>
    <x v="2"/>
    <n v="828"/>
    <n v="3"/>
    <n v="113"/>
    <n v="2484"/>
    <s v="June"/>
  </r>
  <r>
    <s v="ORD0023"/>
    <d v="2023-02-02T00:00:00"/>
    <x v="3"/>
    <s v="Skincare"/>
    <s v="Customer_15"/>
    <x v="2"/>
    <n v="709"/>
    <n v="5"/>
    <n v="114"/>
    <n v="3545"/>
    <s v="February"/>
  </r>
  <r>
    <s v="ORD0024"/>
    <d v="2023-11-20T00:00:00"/>
    <x v="2"/>
    <s v="Shirt"/>
    <s v="Customer_46"/>
    <x v="3"/>
    <n v="164"/>
    <n v="1"/>
    <n v="38"/>
    <n v="164"/>
    <s v="November"/>
  </r>
  <r>
    <s v="ORD0025"/>
    <d v="2023-12-09T00:00:00"/>
    <x v="1"/>
    <s v="Mixer"/>
    <s v="Customer_18"/>
    <x v="2"/>
    <n v="996"/>
    <n v="5"/>
    <n v="76"/>
    <n v="4980"/>
    <s v="December"/>
  </r>
  <r>
    <s v="ORD0026"/>
    <d v="2023-04-08T00:00:00"/>
    <x v="3"/>
    <s v="Makeup"/>
    <s v="Customer_27"/>
    <x v="1"/>
    <n v="233"/>
    <n v="4"/>
    <n v="28"/>
    <n v="932"/>
    <s v="April"/>
  </r>
  <r>
    <s v="ORD0027"/>
    <d v="2023-12-01T00:00:00"/>
    <x v="3"/>
    <s v="Haircare"/>
    <s v="Customer_44"/>
    <x v="3"/>
    <n v="1969"/>
    <n v="1"/>
    <n v="122"/>
    <n v="1969"/>
    <s v="December"/>
  </r>
  <r>
    <s v="ORD0028"/>
    <d v="2023-04-08T00:00:00"/>
    <x v="1"/>
    <n v="0"/>
    <s v="Customer_13"/>
    <x v="2"/>
    <n v="1095"/>
    <n v="2"/>
    <n v="147"/>
    <n v="2190"/>
    <s v="April"/>
  </r>
  <r>
    <s v="ORD0029"/>
    <d v="2023-08-15T00:00:00"/>
    <x v="1"/>
    <s v="Mattress"/>
    <s v="Customer_5"/>
    <x v="2"/>
    <n v="1625"/>
    <n v="5"/>
    <n v="113"/>
    <n v="8125"/>
    <s v="August"/>
  </r>
  <r>
    <s v="ORD0030"/>
    <d v="2023-07-28T00:00:00"/>
    <x v="0"/>
    <s v="Laptop"/>
    <s v="Customer_11"/>
    <x v="2"/>
    <n v="997"/>
    <n v="2"/>
    <n v="222"/>
    <n v="1994"/>
    <s v="July"/>
  </r>
  <r>
    <s v="ORD0031"/>
    <d v="2023-07-19T00:00:00"/>
    <x v="0"/>
    <s v="Smartphone"/>
    <s v="Customer_1"/>
    <x v="1"/>
    <n v="567"/>
    <n v="4"/>
    <n v="60"/>
    <n v="2268"/>
    <s v="July"/>
  </r>
  <r>
    <s v="ORD0032"/>
    <d v="2023-04-22T00:00:00"/>
    <x v="3"/>
    <s v="Makeup"/>
    <s v="Customer_19"/>
    <x v="2"/>
    <n v="1938"/>
    <n v="5"/>
    <n v="382"/>
    <n v="9690"/>
    <s v="April"/>
  </r>
  <r>
    <s v="ORD0033"/>
    <d v="2023-10-27T00:00:00"/>
    <x v="0"/>
    <s v="Tablet"/>
    <s v="Customer_4"/>
    <x v="3"/>
    <n v="979"/>
    <n v="5"/>
    <n v="79"/>
    <n v="4895"/>
    <s v="October"/>
  </r>
  <r>
    <s v="ORD0034"/>
    <d v="2023-02-04T00:00:00"/>
    <x v="0"/>
    <s v="Smartphone"/>
    <s v="Customer_39"/>
    <x v="3"/>
    <n v="1366"/>
    <n v="2"/>
    <n v="178"/>
    <n v="2732"/>
    <s v="February"/>
  </r>
  <r>
    <s v="ORD0035"/>
    <d v="2023-02-11T00:00:00"/>
    <x v="2"/>
    <s v="Dress"/>
    <s v="Customer_40"/>
    <x v="3"/>
    <n v="867"/>
    <n v="5"/>
    <n v="141"/>
    <n v="4335"/>
    <s v="February"/>
  </r>
  <r>
    <s v="ORD0036"/>
    <d v="2023-06-10T00:00:00"/>
    <x v="1"/>
    <s v="Furniture"/>
    <s v="Customer_43"/>
    <x v="2"/>
    <n v="515"/>
    <n v="4"/>
    <n v="39"/>
    <n v="2060"/>
    <s v="June"/>
  </r>
  <r>
    <s v="ORD0037"/>
    <d v="2023-02-07T00:00:00"/>
    <x v="1"/>
    <s v="Mattress"/>
    <s v="Customer_49"/>
    <x v="0"/>
    <n v="68"/>
    <n v="5"/>
    <n v="17"/>
    <n v="340"/>
    <s v="February"/>
  </r>
  <r>
    <s v="ORD0038"/>
    <d v="2023-05-16T00:00:00"/>
    <x v="0"/>
    <s v="Laptop"/>
    <s v="Customer_33"/>
    <x v="2"/>
    <n v="308"/>
    <n v="3"/>
    <n v="69"/>
    <n v="924"/>
    <s v="May"/>
  </r>
  <r>
    <s v="ORD0039"/>
    <d v="2023-08-13T00:00:00"/>
    <x v="2"/>
    <s v="Jacket"/>
    <s v="Customer_11"/>
    <x v="0"/>
    <n v="1675"/>
    <n v="3"/>
    <n v="288"/>
    <n v="5025"/>
    <s v="August"/>
  </r>
  <r>
    <s v="ORD0040"/>
    <d v="2023-02-23T00:00:00"/>
    <x v="0"/>
    <s v="Camera"/>
    <s v="Customer_43"/>
    <x v="0"/>
    <n v="1880"/>
    <n v="2"/>
    <n v="193"/>
    <n v="3760"/>
    <s v="February"/>
  </r>
  <r>
    <s v="ORD0041"/>
    <d v="2023-05-25T00:00:00"/>
    <x v="0"/>
    <s v="Camera"/>
    <s v="Customer_18"/>
    <x v="2"/>
    <n v="1229"/>
    <n v="3"/>
    <n v="111"/>
    <n v="3687"/>
    <s v="May"/>
  </r>
  <r>
    <s v="ORD0042"/>
    <d v="2023-01-27T00:00:00"/>
    <x v="1"/>
    <s v="Lamp"/>
    <s v="Customer_17"/>
    <x v="1"/>
    <n v="229"/>
    <n v="4"/>
    <n v="49"/>
    <n v="916"/>
    <s v="January"/>
  </r>
  <r>
    <s v="ORD0043"/>
    <d v="2023-03-08T00:00:00"/>
    <x v="0"/>
    <s v="Laptop"/>
    <s v="Customer_50"/>
    <x v="0"/>
    <n v="1292"/>
    <n v="3"/>
    <n v="106"/>
    <n v="3876"/>
    <s v="March"/>
  </r>
  <r>
    <s v="ORD0044"/>
    <d v="2023-01-05T00:00:00"/>
    <x v="3"/>
    <s v="Nail Polish"/>
    <s v="Customer_36"/>
    <x v="1"/>
    <n v="268"/>
    <n v="2"/>
    <n v="42"/>
    <n v="536"/>
    <s v="January"/>
  </r>
  <r>
    <s v="ORD0045"/>
    <d v="2023-03-07T00:00:00"/>
    <x v="1"/>
    <s v="Lamp"/>
    <s v="Customer_28"/>
    <x v="2"/>
    <n v="131"/>
    <n v="3"/>
    <n v="30"/>
    <n v="393"/>
    <s v="March"/>
  </r>
  <r>
    <s v="ORD0046"/>
    <d v="2023-05-08T00:00:00"/>
    <x v="0"/>
    <s v="Tablet"/>
    <s v="Customer_44"/>
    <x v="2"/>
    <n v="1350"/>
    <n v="3"/>
    <n v="278"/>
    <n v="4050"/>
    <s v="May"/>
  </r>
  <r>
    <s v="ORD0047"/>
    <d v="2023-03-25T00:00:00"/>
    <x v="3"/>
    <s v="Nail Polish"/>
    <s v="Customer_16"/>
    <x v="2"/>
    <n v="1953"/>
    <n v="2"/>
    <n v="442"/>
    <n v="3906"/>
    <s v="March"/>
  </r>
  <r>
    <s v="ORD0048"/>
    <d v="2023-12-09T00:00:00"/>
    <x v="0"/>
    <s v="Smartphone"/>
    <s v="Customer_27"/>
    <x v="0"/>
    <n v="1734"/>
    <n v="2"/>
    <n v="179"/>
    <n v="3468"/>
    <s v="December"/>
  </r>
  <r>
    <s v="ORD0049"/>
    <d v="2023-04-24T00:00:00"/>
    <x v="0"/>
    <s v="Headphones"/>
    <s v="Customer_31"/>
    <x v="3"/>
    <n v="439"/>
    <n v="4"/>
    <n v="52"/>
    <n v="1756"/>
    <s v="April"/>
  </r>
  <r>
    <s v="ORD0050"/>
    <d v="2023-04-09T00:00:00"/>
    <x v="2"/>
    <s v="Jeans"/>
    <s v="Customer_43"/>
    <x v="3"/>
    <n v="827"/>
    <n v="3"/>
    <n v="184"/>
    <n v="2481"/>
    <s v="April"/>
  </r>
  <r>
    <s v="ORD0051"/>
    <d v="2023-10-02T00:00:00"/>
    <x v="1"/>
    <s v="Furniture"/>
    <s v="Customer_44"/>
    <x v="1"/>
    <n v="695"/>
    <n v="1"/>
    <n v="50"/>
    <n v="695"/>
    <s v="October"/>
  </r>
  <r>
    <s v="ORD0052"/>
    <d v="2023-02-25T00:00:00"/>
    <x v="1"/>
    <s v="Cookware"/>
    <s v="Customer_3"/>
    <x v="0"/>
    <n v="1213"/>
    <n v="3"/>
    <n v="237"/>
    <n v="3639"/>
    <s v="February"/>
  </r>
  <r>
    <s v="ORD0053"/>
    <d v="2023-10-23T00:00:00"/>
    <x v="1"/>
    <s v="Mattress"/>
    <s v="Customer_25"/>
    <x v="3"/>
    <n v="420"/>
    <n v="1"/>
    <n v="80"/>
    <n v="420"/>
    <s v="October"/>
  </r>
  <r>
    <s v="ORD0054"/>
    <d v="2023-08-09T00:00:00"/>
    <x v="0"/>
    <s v="Camera"/>
    <s v="Customer_24"/>
    <x v="2"/>
    <n v="186"/>
    <n v="3"/>
    <n v="32"/>
    <n v="558"/>
    <s v="August"/>
  </r>
  <r>
    <s v="ORD0055"/>
    <d v="2023-07-29T00:00:00"/>
    <x v="0"/>
    <s v="Tablet"/>
    <s v="Customer_43"/>
    <x v="0"/>
    <n v="686"/>
    <n v="3"/>
    <n v="110"/>
    <n v="2058"/>
    <s v="July"/>
  </r>
  <r>
    <s v="ORD0056"/>
    <d v="2023-03-31T00:00:00"/>
    <x v="2"/>
    <s v="Shoes"/>
    <s v="Customer_44"/>
    <x v="1"/>
    <n v="1250"/>
    <n v="3"/>
    <n v="164"/>
    <n v="3750"/>
    <s v="March"/>
  </r>
  <r>
    <s v="ORD0057"/>
    <d v="2023-08-09T00:00:00"/>
    <x v="0"/>
    <s v="Tablet"/>
    <s v="Customer_14"/>
    <x v="0"/>
    <n v="1582"/>
    <n v="5"/>
    <n v="286"/>
    <n v="7910"/>
    <s v="August"/>
  </r>
  <r>
    <s v="ORD0058"/>
    <d v="2023-04-20T00:00:00"/>
    <x v="3"/>
    <s v="Haircare"/>
    <s v="Customer_44"/>
    <x v="1"/>
    <n v="1046"/>
    <n v="2"/>
    <n v="190"/>
    <n v="2092"/>
    <s v="April"/>
  </r>
  <r>
    <s v="ORD0059"/>
    <d v="2023-05-01T00:00:00"/>
    <x v="1"/>
    <s v="Lamp"/>
    <s v="Customer_6"/>
    <x v="0"/>
    <n v="1361"/>
    <n v="2"/>
    <n v="287"/>
    <n v="2722"/>
    <s v="May"/>
  </r>
  <r>
    <s v="ORD0060"/>
    <d v="2023-09-01T00:00:00"/>
    <x v="2"/>
    <s v="Shirt"/>
    <s v="Customer_16"/>
    <x v="3"/>
    <n v="1241"/>
    <n v="1"/>
    <n v="175"/>
    <n v="1241"/>
    <s v="September"/>
  </r>
  <r>
    <s v="ORD0061"/>
    <d v="2023-05-05T00:00:00"/>
    <x v="2"/>
    <s v="Shoes"/>
    <s v="Customer_26"/>
    <x v="1"/>
    <n v="337"/>
    <n v="1"/>
    <n v="77"/>
    <n v="337"/>
    <s v="May"/>
  </r>
  <r>
    <s v="ORD0062"/>
    <d v="2023-12-23T00:00:00"/>
    <x v="0"/>
    <s v="Headphones"/>
    <s v="Customer_12"/>
    <x v="2"/>
    <n v="1060"/>
    <n v="1"/>
    <n v="171"/>
    <n v="1060"/>
    <s v="December"/>
  </r>
  <r>
    <s v="ORD0063"/>
    <d v="2023-12-08T00:00:00"/>
    <x v="0"/>
    <s v="Headphones"/>
    <s v="Customer_30"/>
    <x v="2"/>
    <n v="1085"/>
    <n v="5"/>
    <n v="183"/>
    <n v="5425"/>
    <s v="December"/>
  </r>
  <r>
    <s v="ORD0064"/>
    <d v="2023-08-17T00:00:00"/>
    <x v="3"/>
    <s v="Nail Polish"/>
    <s v="Customer_36"/>
    <x v="1"/>
    <n v="1799"/>
    <n v="4"/>
    <n v="251"/>
    <n v="7196"/>
    <s v="August"/>
  </r>
  <r>
    <s v="ORD0065"/>
    <d v="2023-05-03T00:00:00"/>
    <x v="2"/>
    <s v="Jacket"/>
    <s v="Customer_41"/>
    <x v="1"/>
    <n v="585"/>
    <n v="1"/>
    <n v="112"/>
    <n v="585"/>
    <s v="May"/>
  </r>
  <r>
    <s v="ORD0066"/>
    <d v="2023-10-04T00:00:00"/>
    <x v="2"/>
    <s v="Jacket"/>
    <s v="Customer_21"/>
    <x v="0"/>
    <n v="207"/>
    <n v="2"/>
    <n v="19"/>
    <n v="414"/>
    <s v="October"/>
  </r>
  <r>
    <s v="ORD0067"/>
    <d v="2023-07-28T00:00:00"/>
    <x v="2"/>
    <s v="Jeans"/>
    <s v="Customer_27"/>
    <x v="3"/>
    <n v="695"/>
    <n v="4"/>
    <n v="92"/>
    <n v="2780"/>
    <s v="July"/>
  </r>
  <r>
    <s v="ORD0068"/>
    <d v="2023-10-27T00:00:00"/>
    <x v="2"/>
    <s v="Shoes"/>
    <s v="Customer_50"/>
    <x v="1"/>
    <n v="1894"/>
    <n v="1"/>
    <n v="419"/>
    <n v="1894"/>
    <s v="October"/>
  </r>
  <r>
    <s v="ORD0069"/>
    <d v="2023-06-02T00:00:00"/>
    <x v="3"/>
    <s v="Haircare"/>
    <s v="Customer_23"/>
    <x v="3"/>
    <n v="1519"/>
    <n v="4"/>
    <n v="239"/>
    <n v="6076"/>
    <s v="June"/>
  </r>
  <r>
    <s v="ORD0070"/>
    <d v="2023-08-12T00:00:00"/>
    <x v="2"/>
    <s v="Shoes"/>
    <s v="Customer_18"/>
    <x v="2"/>
    <n v="997"/>
    <n v="4"/>
    <n v="116"/>
    <n v="3988"/>
    <s v="August"/>
  </r>
  <r>
    <s v="ORD0071"/>
    <d v="2023-11-15T00:00:00"/>
    <x v="3"/>
    <s v="Makeup"/>
    <s v="Customer_9"/>
    <x v="1"/>
    <n v="1091"/>
    <n v="4"/>
    <n v="183"/>
    <n v="4364"/>
    <s v="November"/>
  </r>
  <r>
    <s v="ORD0072"/>
    <d v="2023-08-25T00:00:00"/>
    <x v="0"/>
    <s v="Laptop"/>
    <s v="Customer_9"/>
    <x v="1"/>
    <n v="404"/>
    <n v="3"/>
    <n v="50"/>
    <n v="1212"/>
    <s v="August"/>
  </r>
  <r>
    <s v="ORD0073"/>
    <d v="2023-07-14T00:00:00"/>
    <x v="2"/>
    <s v="Shoes"/>
    <s v="Customer_22"/>
    <x v="0"/>
    <n v="592"/>
    <n v="4"/>
    <n v="59"/>
    <n v="2368"/>
    <s v="July"/>
  </r>
  <r>
    <s v="ORD0074"/>
    <d v="2023-10-04T00:00:00"/>
    <x v="0"/>
    <s v="Headphones"/>
    <s v="Customer_48"/>
    <x v="3"/>
    <n v="151"/>
    <n v="3"/>
    <n v="14"/>
    <n v="453"/>
    <s v="October"/>
  </r>
  <r>
    <s v="ORD0075"/>
    <d v="2023-04-13T00:00:00"/>
    <x v="0"/>
    <s v="Laptop"/>
    <s v="Customer_16"/>
    <x v="3"/>
    <n v="1686"/>
    <n v="5"/>
    <n v="135"/>
    <n v="8430"/>
    <s v="April"/>
  </r>
  <r>
    <s v="ORD0076"/>
    <d v="2023-04-22T00:00:00"/>
    <x v="2"/>
    <s v="Shoes"/>
    <s v="Customer_37"/>
    <x v="3"/>
    <n v="956"/>
    <n v="3"/>
    <n v="194"/>
    <n v="2868"/>
    <s v="April"/>
  </r>
  <r>
    <s v="ORD0077"/>
    <d v="2023-03-25T00:00:00"/>
    <x v="2"/>
    <s v="Dress"/>
    <s v="Customer_50"/>
    <x v="3"/>
    <n v="1931"/>
    <n v="1"/>
    <n v="320"/>
    <n v="1931"/>
    <s v="March"/>
  </r>
  <r>
    <s v="ORD0078"/>
    <d v="2023-04-12T00:00:00"/>
    <x v="1"/>
    <s v="Lamp"/>
    <s v="Customer_26"/>
    <x v="1"/>
    <n v="198"/>
    <n v="2"/>
    <n v="13"/>
    <n v="396"/>
    <s v="April"/>
  </r>
  <r>
    <s v="ORD0079"/>
    <d v="2023-01-22T00:00:00"/>
    <x v="1"/>
    <s v="Lamp"/>
    <s v="Customer_37"/>
    <x v="3"/>
    <n v="727"/>
    <n v="4"/>
    <n v="132"/>
    <n v="2908"/>
    <s v="January"/>
  </r>
  <r>
    <s v="ORD0080"/>
    <d v="2023-08-04T00:00:00"/>
    <x v="0"/>
    <s v="Camera"/>
    <s v="Customer_1"/>
    <x v="0"/>
    <n v="1653"/>
    <n v="1"/>
    <n v="226"/>
    <n v="1653"/>
    <s v="August"/>
  </r>
  <r>
    <s v="ORD0081"/>
    <d v="2023-04-01T00:00:00"/>
    <x v="1"/>
    <s v="Mattress"/>
    <s v="Customer_28"/>
    <x v="2"/>
    <n v="1480"/>
    <n v="3"/>
    <n v="256"/>
    <n v="4440"/>
    <s v="April"/>
  </r>
  <r>
    <s v="ORD0082"/>
    <d v="2023-10-31T00:00:00"/>
    <x v="3"/>
    <s v="Haircare"/>
    <s v="Customer_47"/>
    <x v="1"/>
    <n v="573"/>
    <n v="2"/>
    <n v="123"/>
    <n v="1146"/>
    <s v="October"/>
  </r>
  <r>
    <s v="ORD0083"/>
    <d v="2023-08-26T00:00:00"/>
    <x v="0"/>
    <s v="Tablet"/>
    <s v="Customer_16"/>
    <x v="1"/>
    <n v="1161"/>
    <n v="4"/>
    <n v="136"/>
    <n v="4644"/>
    <s v="August"/>
  </r>
  <r>
    <s v="ORD0084"/>
    <d v="2023-04-19T00:00:00"/>
    <x v="3"/>
    <s v="Perfume"/>
    <s v="Customer_32"/>
    <x v="2"/>
    <n v="741"/>
    <n v="3"/>
    <n v="87"/>
    <n v="2223"/>
    <s v="April"/>
  </r>
  <r>
    <s v="ORD0085"/>
    <d v="2023-04-08T00:00:00"/>
    <x v="1"/>
    <s v="Lamp"/>
    <s v="Customer_34"/>
    <x v="3"/>
    <n v="216"/>
    <n v="4"/>
    <n v="32"/>
    <n v="864"/>
    <s v="April"/>
  </r>
  <r>
    <s v="ORD0086"/>
    <d v="2023-01-09T00:00:00"/>
    <x v="2"/>
    <s v="Shoes"/>
    <s v="Customer_29"/>
    <x v="1"/>
    <n v="231"/>
    <n v="2"/>
    <n v="30"/>
    <n v="462"/>
    <s v="January"/>
  </r>
  <r>
    <s v="ORD0087"/>
    <d v="2023-10-11T00:00:00"/>
    <x v="2"/>
    <s v="Jacket"/>
    <s v="Customer_31"/>
    <x v="0"/>
    <n v="1085"/>
    <n v="4"/>
    <n v="270"/>
    <n v="4340"/>
    <s v="October"/>
  </r>
  <r>
    <s v="ORD0088"/>
    <d v="2023-06-06T00:00:00"/>
    <x v="1"/>
    <s v="Furniture"/>
    <s v="Customer_18"/>
    <x v="1"/>
    <n v="540"/>
    <n v="1"/>
    <n v="104"/>
    <n v="540"/>
    <s v="June"/>
  </r>
  <r>
    <s v="ORD0089"/>
    <d v="2023-04-21T00:00:00"/>
    <x v="1"/>
    <s v="Mixer"/>
    <s v="Customer_13"/>
    <x v="2"/>
    <n v="1490"/>
    <n v="3"/>
    <n v="290"/>
    <n v="4470"/>
    <s v="April"/>
  </r>
  <r>
    <s v="ORD0090"/>
    <d v="2023-04-27T00:00:00"/>
    <x v="1"/>
    <s v="Mixer"/>
    <s v="Customer_19"/>
    <x v="2"/>
    <n v="753"/>
    <n v="3"/>
    <n v="39"/>
    <n v="2259"/>
    <s v="April"/>
  </r>
  <r>
    <s v="ORD0091"/>
    <d v="2023-10-11T00:00:00"/>
    <x v="2"/>
    <s v="Jacket"/>
    <s v="Customer_4"/>
    <x v="3"/>
    <n v="619"/>
    <n v="2"/>
    <n v="110"/>
    <n v="1238"/>
    <s v="October"/>
  </r>
  <r>
    <s v="ORD0092"/>
    <d v="2023-05-26T00:00:00"/>
    <x v="3"/>
    <s v="Skincare"/>
    <s v="Customer_37"/>
    <x v="3"/>
    <n v="965"/>
    <n v="4"/>
    <n v="114"/>
    <n v="3860"/>
    <s v="May"/>
  </r>
  <r>
    <s v="ORD0093"/>
    <d v="2023-02-03T00:00:00"/>
    <x v="0"/>
    <s v="Tablet"/>
    <s v="Customer_8"/>
    <x v="1"/>
    <n v="831"/>
    <n v="1"/>
    <n v="137"/>
    <n v="831"/>
    <s v="February"/>
  </r>
  <r>
    <s v="ORD0094"/>
    <d v="2023-06-05T00:00:00"/>
    <x v="0"/>
    <s v="Smartphone"/>
    <s v="Customer_37"/>
    <x v="2"/>
    <n v="216"/>
    <n v="2"/>
    <n v="15"/>
    <n v="432"/>
    <s v="June"/>
  </r>
  <r>
    <s v="ORD0095"/>
    <d v="2023-09-25T00:00:00"/>
    <x v="3"/>
    <s v="Nail Polish"/>
    <s v="Customer_50"/>
    <x v="2"/>
    <n v="791"/>
    <n v="4"/>
    <n v="86"/>
    <n v="3164"/>
    <s v="September"/>
  </r>
  <r>
    <s v="ORD0096"/>
    <d v="2023-02-20T00:00:00"/>
    <x v="3"/>
    <s v="Perfume"/>
    <s v="Customer_40"/>
    <x v="3"/>
    <n v="1897"/>
    <n v="2"/>
    <n v="332"/>
    <n v="3794"/>
    <s v="February"/>
  </r>
  <r>
    <s v="ORD0097"/>
    <d v="2023-03-30T00:00:00"/>
    <x v="1"/>
    <s v="Mixer"/>
    <s v="Customer_16"/>
    <x v="2"/>
    <n v="1126"/>
    <n v="2"/>
    <n v="56"/>
    <n v="2252"/>
    <s v="March"/>
  </r>
  <r>
    <s v="ORD0098"/>
    <d v="2023-01-17T00:00:00"/>
    <x v="3"/>
    <s v="Nail Polish"/>
    <s v="Customer_19"/>
    <x v="1"/>
    <n v="501"/>
    <n v="3"/>
    <n v="95"/>
    <n v="1503"/>
    <s v="January"/>
  </r>
  <r>
    <s v="ORD0099"/>
    <d v="2023-11-17T00:00:00"/>
    <x v="3"/>
    <s v="Skincare"/>
    <s v="Customer_17"/>
    <x v="2"/>
    <n v="1200"/>
    <n v="2"/>
    <n v="162"/>
    <n v="2400"/>
    <s v="November"/>
  </r>
  <r>
    <s v="ORD0100"/>
    <d v="2023-02-06T00:00:00"/>
    <x v="2"/>
    <s v="Jeans"/>
    <s v="Customer_10"/>
    <x v="0"/>
    <n v="166"/>
    <n v="3"/>
    <n v="28"/>
    <n v="498"/>
    <s v="February"/>
  </r>
  <r>
    <s v="ORD0101"/>
    <d v="2023-12-19T00:00:00"/>
    <x v="1"/>
    <s v="Mattress"/>
    <s v="Customer_30"/>
    <x v="3"/>
    <n v="642"/>
    <n v="4"/>
    <n v="153"/>
    <n v="2568"/>
    <s v="December"/>
  </r>
  <r>
    <s v="ORD0102"/>
    <d v="2023-01-21T00:00:00"/>
    <x v="3"/>
    <s v="Haircare"/>
    <s v="Customer_39"/>
    <x v="3"/>
    <n v="1784"/>
    <n v="3"/>
    <n v="304"/>
    <n v="5352"/>
    <s v="January"/>
  </r>
  <r>
    <s v="ORD0103"/>
    <d v="2023-10-22T00:00:00"/>
    <x v="0"/>
    <s v="Laptop"/>
    <s v="Customer_44"/>
    <x v="2"/>
    <n v="1194"/>
    <n v="1"/>
    <n v="298"/>
    <n v="1194"/>
    <s v="October"/>
  </r>
  <r>
    <s v="ORD0104"/>
    <d v="2023-03-31T00:00:00"/>
    <x v="1"/>
    <s v="Lamp"/>
    <s v="Customer_49"/>
    <x v="3"/>
    <n v="967"/>
    <n v="4"/>
    <n v="225"/>
    <n v="3868"/>
    <s v="March"/>
  </r>
  <r>
    <s v="ORD0105"/>
    <d v="2023-09-09T00:00:00"/>
    <x v="2"/>
    <s v="Dress"/>
    <s v="Customer_41"/>
    <x v="1"/>
    <n v="1939"/>
    <n v="4"/>
    <n v="231"/>
    <n v="7756"/>
    <s v="September"/>
  </r>
  <r>
    <s v="ORD0106"/>
    <d v="2023-06-18T00:00:00"/>
    <x v="1"/>
    <s v="Furniture"/>
    <s v="Customer_11"/>
    <x v="3"/>
    <n v="852"/>
    <n v="4"/>
    <n v="91"/>
    <n v="3408"/>
    <s v="June"/>
  </r>
  <r>
    <s v="ORD0107"/>
    <d v="2023-02-15T00:00:00"/>
    <x v="3"/>
    <s v="Nail Polish"/>
    <s v="Customer_30"/>
    <x v="3"/>
    <n v="663"/>
    <n v="3"/>
    <n v="48"/>
    <n v="1989"/>
    <s v="February"/>
  </r>
  <r>
    <s v="ORD0108"/>
    <d v="2023-10-05T00:00:00"/>
    <x v="3"/>
    <s v="Nail Polish"/>
    <s v="Customer_43"/>
    <x v="3"/>
    <n v="950"/>
    <n v="1"/>
    <n v="83"/>
    <n v="950"/>
    <s v="October"/>
  </r>
  <r>
    <s v="ORD0109"/>
    <d v="2023-08-15T00:00:00"/>
    <x v="1"/>
    <s v="Lamp"/>
    <s v="Customer_41"/>
    <x v="1"/>
    <n v="1531"/>
    <n v="2"/>
    <n v="158"/>
    <n v="3062"/>
    <s v="August"/>
  </r>
  <r>
    <s v="ORD0110"/>
    <d v="2023-09-06T00:00:00"/>
    <x v="2"/>
    <s v="Jacket"/>
    <s v="Customer_45"/>
    <x v="1"/>
    <n v="286"/>
    <n v="5"/>
    <n v="60"/>
    <n v="1430"/>
    <s v="September"/>
  </r>
  <r>
    <s v="ORD0111"/>
    <d v="2023-07-28T00:00:00"/>
    <x v="2"/>
    <s v="Jacket"/>
    <s v="Customer_36"/>
    <x v="3"/>
    <n v="231"/>
    <n v="1"/>
    <n v="32"/>
    <n v="231"/>
    <s v="July"/>
  </r>
  <r>
    <s v="ORD0112"/>
    <d v="2023-05-30T00:00:00"/>
    <x v="0"/>
    <s v="Smartphone"/>
    <s v="Customer_46"/>
    <x v="1"/>
    <n v="1042"/>
    <n v="3"/>
    <n v="138"/>
    <n v="3126"/>
    <s v="May"/>
  </r>
  <r>
    <s v="ORD0113"/>
    <d v="2023-10-10T00:00:00"/>
    <x v="3"/>
    <s v="Haircare"/>
    <s v="Customer_30"/>
    <x v="2"/>
    <n v="332"/>
    <n v="2"/>
    <n v="77"/>
    <n v="664"/>
    <s v="October"/>
  </r>
  <r>
    <s v="ORD0114"/>
    <d v="2023-08-01T00:00:00"/>
    <x v="2"/>
    <s v="Shirt"/>
    <s v="Customer_50"/>
    <x v="0"/>
    <n v="712"/>
    <n v="5"/>
    <n v="73"/>
    <n v="3560"/>
    <s v="August"/>
  </r>
  <r>
    <s v="ORD0115"/>
    <d v="2023-10-24T00:00:00"/>
    <x v="0"/>
    <s v="Tablet"/>
    <s v="Customer_38"/>
    <x v="0"/>
    <n v="1997"/>
    <n v="4"/>
    <n v="445"/>
    <n v="7988"/>
    <s v="October"/>
  </r>
  <r>
    <s v="ORD0116"/>
    <d v="2023-06-20T00:00:00"/>
    <x v="3"/>
    <s v="Nail Polish"/>
    <s v="Customer_23"/>
    <x v="1"/>
    <n v="1126"/>
    <n v="5"/>
    <n v="141"/>
    <n v="5630"/>
    <s v="June"/>
  </r>
  <r>
    <s v="ORD0117"/>
    <d v="2023-07-16T00:00:00"/>
    <x v="1"/>
    <s v="Cookware"/>
    <s v="Customer_37"/>
    <x v="2"/>
    <n v="505"/>
    <n v="4"/>
    <n v="29"/>
    <n v="2020"/>
    <s v="July"/>
  </r>
  <r>
    <s v="ORD0118"/>
    <d v="2023-11-30T00:00:00"/>
    <x v="3"/>
    <s v="Haircare"/>
    <s v="Customer_43"/>
    <x v="1"/>
    <n v="1962"/>
    <n v="4"/>
    <n v="476"/>
    <n v="7848"/>
    <s v="November"/>
  </r>
  <r>
    <s v="ORD0119"/>
    <d v="2023-08-14T00:00:00"/>
    <x v="2"/>
    <s v="Dress"/>
    <s v="Customer_7"/>
    <x v="0"/>
    <n v="244"/>
    <n v="4"/>
    <n v="12"/>
    <n v="976"/>
    <s v="August"/>
  </r>
  <r>
    <s v="ORD0120"/>
    <d v="2023-08-29T00:00:00"/>
    <x v="2"/>
    <s v="Shoes"/>
    <s v="Customer_5"/>
    <x v="2"/>
    <n v="1573"/>
    <n v="3"/>
    <n v="185"/>
    <n v="4719"/>
    <s v="August"/>
  </r>
  <r>
    <s v="ORD0121"/>
    <d v="2023-10-01T00:00:00"/>
    <x v="3"/>
    <s v="Skincare"/>
    <s v="Customer_44"/>
    <x v="0"/>
    <n v="791"/>
    <n v="3"/>
    <n v="138"/>
    <n v="2373"/>
    <s v="October"/>
  </r>
  <r>
    <s v="ORD0122"/>
    <d v="2023-02-05T00:00:00"/>
    <x v="3"/>
    <s v="Nail Polish"/>
    <s v="Customer_40"/>
    <x v="3"/>
    <n v="507"/>
    <n v="3"/>
    <n v="126"/>
    <n v="1521"/>
    <s v="February"/>
  </r>
  <r>
    <s v="ORD0123"/>
    <d v="2023-11-21T00:00:00"/>
    <x v="0"/>
    <s v="Headphones"/>
    <s v="Customer_49"/>
    <x v="3"/>
    <n v="1422"/>
    <n v="1"/>
    <n v="197"/>
    <n v="1422"/>
    <s v="November"/>
  </r>
  <r>
    <s v="ORD0124"/>
    <d v="2023-01-29T00:00:00"/>
    <x v="1"/>
    <s v="Mixer"/>
    <s v="Customer_21"/>
    <x v="3"/>
    <n v="622"/>
    <n v="3"/>
    <n v="84"/>
    <n v="1866"/>
    <s v="January"/>
  </r>
  <r>
    <s v="ORD0125"/>
    <d v="2023-12-16T00:00:00"/>
    <x v="2"/>
    <s v="Dress"/>
    <s v="Customer_37"/>
    <x v="1"/>
    <n v="1595"/>
    <n v="2"/>
    <n v="135"/>
    <n v="3190"/>
    <s v="December"/>
  </r>
  <r>
    <s v="ORD0126"/>
    <d v="2023-10-26T00:00:00"/>
    <x v="3"/>
    <s v="Nail Polish"/>
    <s v="Customer_32"/>
    <x v="2"/>
    <n v="329"/>
    <n v="4"/>
    <n v="58"/>
    <n v="1316"/>
    <s v="October"/>
  </r>
  <r>
    <s v="ORD0127"/>
    <d v="2023-05-28T00:00:00"/>
    <x v="3"/>
    <s v="Perfume"/>
    <s v="Customer_30"/>
    <x v="3"/>
    <n v="1371"/>
    <n v="2"/>
    <n v="88"/>
    <n v="2742"/>
    <s v="May"/>
  </r>
  <r>
    <s v="ORD0128"/>
    <d v="2023-08-06T00:00:00"/>
    <x v="1"/>
    <s v="Lamp"/>
    <s v="Customer_41"/>
    <x v="0"/>
    <n v="1396"/>
    <n v="4"/>
    <n v="305"/>
    <n v="5584"/>
    <s v="August"/>
  </r>
  <r>
    <s v="ORD0129"/>
    <d v="2023-05-02T00:00:00"/>
    <x v="2"/>
    <s v="Shoes"/>
    <s v="Customer_7"/>
    <x v="1"/>
    <n v="793"/>
    <n v="3"/>
    <n v="130"/>
    <n v="2379"/>
    <s v="May"/>
  </r>
  <r>
    <s v="ORD0130"/>
    <d v="2023-01-05T00:00:00"/>
    <x v="1"/>
    <s v="Mixer"/>
    <s v="Customer_18"/>
    <x v="1"/>
    <n v="1153"/>
    <n v="1"/>
    <n v="267"/>
    <n v="1153"/>
    <s v="January"/>
  </r>
  <r>
    <s v="ORD0131"/>
    <d v="2023-06-30T00:00:00"/>
    <x v="3"/>
    <s v="Perfume"/>
    <s v="Customer_39"/>
    <x v="2"/>
    <n v="477"/>
    <n v="2"/>
    <n v="83"/>
    <n v="954"/>
    <s v="June"/>
  </r>
  <r>
    <s v="ORD0132"/>
    <d v="2023-08-14T00:00:00"/>
    <x v="2"/>
    <s v="Shirt"/>
    <s v="Customer_20"/>
    <x v="3"/>
    <n v="115"/>
    <n v="3"/>
    <n v="22"/>
    <n v="345"/>
    <s v="August"/>
  </r>
  <r>
    <s v="ORD0133"/>
    <d v="2023-08-01T00:00:00"/>
    <x v="0"/>
    <s v="Tablet"/>
    <s v="Customer_48"/>
    <x v="0"/>
    <n v="392"/>
    <n v="2"/>
    <n v="81"/>
    <n v="784"/>
    <s v="August"/>
  </r>
  <r>
    <s v="ORD0134"/>
    <d v="2023-05-12T00:00:00"/>
    <x v="1"/>
    <s v="Lamp"/>
    <s v="Customer_11"/>
    <x v="0"/>
    <n v="1832"/>
    <n v="4"/>
    <n v="446"/>
    <n v="7328"/>
    <s v="May"/>
  </r>
  <r>
    <s v="ORD0135"/>
    <d v="2023-02-08T00:00:00"/>
    <x v="1"/>
    <s v="Furniture"/>
    <s v="Customer_30"/>
    <x v="3"/>
    <n v="324"/>
    <n v="2"/>
    <n v="72"/>
    <n v="648"/>
    <s v="February"/>
  </r>
  <r>
    <s v="ORD0136"/>
    <d v="2023-07-22T00:00:00"/>
    <x v="3"/>
    <s v="Nail Polish"/>
    <s v="Customer_6"/>
    <x v="0"/>
    <n v="77"/>
    <n v="5"/>
    <n v="5"/>
    <n v="385"/>
    <s v="July"/>
  </r>
  <r>
    <s v="ORD0137"/>
    <d v="2023-07-10T00:00:00"/>
    <x v="1"/>
    <s v="Furniture"/>
    <s v="Customer_41"/>
    <x v="1"/>
    <n v="261"/>
    <n v="2"/>
    <n v="37"/>
    <n v="522"/>
    <s v="July"/>
  </r>
  <r>
    <s v="ORD0138"/>
    <d v="2023-02-02T00:00:00"/>
    <x v="1"/>
    <s v="Lamp"/>
    <s v="Customer_42"/>
    <x v="2"/>
    <n v="1289"/>
    <n v="4"/>
    <n v="298"/>
    <n v="5156"/>
    <s v="February"/>
  </r>
  <r>
    <s v="ORD0139"/>
    <d v="2023-01-24T00:00:00"/>
    <x v="1"/>
    <s v="Mattress"/>
    <s v="Customer_9"/>
    <x v="3"/>
    <n v="1895"/>
    <n v="3"/>
    <n v="472"/>
    <n v="5685"/>
    <s v="January"/>
  </r>
  <r>
    <s v="ORD0140"/>
    <d v="2023-03-11T00:00:00"/>
    <x v="0"/>
    <s v="Laptop"/>
    <s v="Customer_35"/>
    <x v="2"/>
    <n v="807"/>
    <n v="3"/>
    <n v="148"/>
    <n v="2421"/>
    <s v="March"/>
  </r>
  <r>
    <s v="ORD0141"/>
    <d v="2023-12-02T00:00:00"/>
    <x v="3"/>
    <s v="Nail Polish"/>
    <s v="Customer_27"/>
    <x v="2"/>
    <n v="243"/>
    <n v="4"/>
    <n v="42"/>
    <n v="972"/>
    <s v="December"/>
  </r>
  <r>
    <s v="ORD0142"/>
    <d v="2023-08-16T00:00:00"/>
    <x v="1"/>
    <s v="Mixer"/>
    <s v="Customer_14"/>
    <x v="0"/>
    <n v="917"/>
    <n v="2"/>
    <n v="202"/>
    <n v="1834"/>
    <s v="August"/>
  </r>
  <r>
    <s v="ORD0143"/>
    <d v="2023-07-23T00:00:00"/>
    <x v="0"/>
    <s v="Tablet"/>
    <s v="Customer_4"/>
    <x v="0"/>
    <n v="587"/>
    <n v="1"/>
    <n v="141"/>
    <n v="587"/>
    <s v="July"/>
  </r>
  <r>
    <s v="ORD0144"/>
    <d v="2023-11-24T00:00:00"/>
    <x v="3"/>
    <s v="Skincare"/>
    <s v="Customer_42"/>
    <x v="2"/>
    <n v="1214"/>
    <n v="1"/>
    <n v="73"/>
    <n v="1214"/>
    <s v="November"/>
  </r>
  <r>
    <s v="ORD0145"/>
    <d v="2023-04-16T00:00:00"/>
    <x v="1"/>
    <s v="Cookware"/>
    <s v="Customer_37"/>
    <x v="2"/>
    <n v="183"/>
    <n v="5"/>
    <n v="16"/>
    <n v="915"/>
    <s v="April"/>
  </r>
  <r>
    <s v="ORD0146"/>
    <d v="2023-03-17T00:00:00"/>
    <x v="2"/>
    <s v="Jeans"/>
    <s v="Customer_50"/>
    <x v="0"/>
    <n v="1587"/>
    <n v="5"/>
    <n v="80"/>
    <n v="7935"/>
    <s v="March"/>
  </r>
  <r>
    <s v="ORD0147"/>
    <d v="2023-02-26T00:00:00"/>
    <x v="2"/>
    <s v="Jeans"/>
    <s v="Customer_12"/>
    <x v="0"/>
    <n v="1339"/>
    <n v="1"/>
    <n v="102"/>
    <n v="1339"/>
    <s v="February"/>
  </r>
  <r>
    <s v="ORD0148"/>
    <d v="2023-03-31T00:00:00"/>
    <x v="1"/>
    <s v="Cookware"/>
    <s v="Customer_2"/>
    <x v="0"/>
    <n v="567"/>
    <n v="2"/>
    <n v="112"/>
    <n v="1134"/>
    <s v="March"/>
  </r>
  <r>
    <s v="ORD0149"/>
    <d v="2023-07-05T00:00:00"/>
    <x v="0"/>
    <s v="Laptop"/>
    <s v="Customer_29"/>
    <x v="1"/>
    <n v="1050"/>
    <n v="1"/>
    <n v="147"/>
    <n v="1050"/>
    <s v="July"/>
  </r>
  <r>
    <s v="ORD0150"/>
    <d v="2023-12-04T00:00:00"/>
    <x v="2"/>
    <s v="Dress"/>
    <s v="Customer_47"/>
    <x v="3"/>
    <n v="1066"/>
    <n v="4"/>
    <n v="190"/>
    <n v="4264"/>
    <s v="December"/>
  </r>
  <r>
    <s v="ORD0151"/>
    <d v="2023-08-07T00:00:00"/>
    <x v="0"/>
    <s v="Laptop"/>
    <s v="Customer_26"/>
    <x v="1"/>
    <n v="1387"/>
    <n v="4"/>
    <n v="267"/>
    <n v="5548"/>
    <s v="August"/>
  </r>
  <r>
    <s v="ORD0152"/>
    <d v="2023-11-08T00:00:00"/>
    <x v="3"/>
    <s v="Skincare"/>
    <s v="Customer_21"/>
    <x v="3"/>
    <n v="339"/>
    <n v="2"/>
    <n v="35"/>
    <n v="678"/>
    <s v="November"/>
  </r>
  <r>
    <s v="ORD0153"/>
    <d v="2023-09-16T00:00:00"/>
    <x v="1"/>
    <s v="Mattress"/>
    <s v="Customer_30"/>
    <x v="0"/>
    <n v="1230"/>
    <n v="1"/>
    <n v="256"/>
    <n v="1230"/>
    <s v="September"/>
  </r>
  <r>
    <s v="ORD0154"/>
    <d v="2023-08-20T00:00:00"/>
    <x v="0"/>
    <s v="Camera"/>
    <s v="Customer_28"/>
    <x v="2"/>
    <n v="1781"/>
    <n v="4"/>
    <n v="209"/>
    <n v="7124"/>
    <s v="August"/>
  </r>
  <r>
    <s v="ORD0155"/>
    <d v="2023-02-18T00:00:00"/>
    <x v="3"/>
    <s v="Haircare"/>
    <s v="Customer_47"/>
    <x v="1"/>
    <n v="659"/>
    <n v="3"/>
    <n v="120"/>
    <n v="1977"/>
    <s v="February"/>
  </r>
  <r>
    <s v="ORD0156"/>
    <d v="2023-02-16T00:00:00"/>
    <x v="1"/>
    <s v="Cookware"/>
    <s v="Customer_5"/>
    <x v="1"/>
    <n v="1671"/>
    <n v="1"/>
    <n v="228"/>
    <n v="1671"/>
    <s v="February"/>
  </r>
  <r>
    <s v="ORD0157"/>
    <d v="2023-10-15T00:00:00"/>
    <x v="1"/>
    <s v="Cookware"/>
    <s v="Customer_38"/>
    <x v="3"/>
    <n v="1145"/>
    <n v="1"/>
    <n v="151"/>
    <n v="1145"/>
    <s v="October"/>
  </r>
  <r>
    <s v="ORD0158"/>
    <d v="2023-06-09T00:00:00"/>
    <x v="3"/>
    <s v="Skincare"/>
    <s v="Customer_39"/>
    <x v="0"/>
    <n v="735"/>
    <n v="5"/>
    <n v="111"/>
    <n v="3675"/>
    <s v="June"/>
  </r>
  <r>
    <s v="ORD0159"/>
    <d v="2023-06-29T00:00:00"/>
    <x v="2"/>
    <s v="Shoes"/>
    <s v="Customer_7"/>
    <x v="2"/>
    <n v="1698"/>
    <n v="3"/>
    <n v="123"/>
    <n v="5094"/>
    <s v="June"/>
  </r>
  <r>
    <s v="ORD0160"/>
    <d v="2023-10-15T00:00:00"/>
    <x v="1"/>
    <s v="Lamp"/>
    <s v="Customer_28"/>
    <x v="2"/>
    <n v="1950"/>
    <n v="5"/>
    <n v="336"/>
    <n v="9750"/>
    <s v="October"/>
  </r>
  <r>
    <s v="ORD0161"/>
    <d v="2023-04-03T00:00:00"/>
    <x v="0"/>
    <s v="Camera"/>
    <s v="Customer_2"/>
    <x v="0"/>
    <n v="582"/>
    <n v="3"/>
    <n v="136"/>
    <n v="1746"/>
    <s v="April"/>
  </r>
  <r>
    <s v="ORD0162"/>
    <d v="2023-10-17T00:00:00"/>
    <x v="1"/>
    <s v="Mixer"/>
    <s v="Customer_10"/>
    <x v="2"/>
    <n v="1331"/>
    <n v="1"/>
    <n v="104"/>
    <n v="1331"/>
    <s v="October"/>
  </r>
  <r>
    <s v="ORD0163"/>
    <d v="2023-08-03T00:00:00"/>
    <x v="0"/>
    <s v="Laptop"/>
    <s v="Customer_25"/>
    <x v="2"/>
    <n v="934"/>
    <n v="2"/>
    <n v="115"/>
    <n v="1868"/>
    <s v="August"/>
  </r>
  <r>
    <s v="ORD0164"/>
    <d v="2023-03-21T00:00:00"/>
    <x v="1"/>
    <s v="Lamp"/>
    <s v="Customer_4"/>
    <x v="3"/>
    <n v="356"/>
    <n v="5"/>
    <n v="21"/>
    <n v="1780"/>
    <s v="March"/>
  </r>
  <r>
    <s v="ORD0165"/>
    <d v="2023-08-06T00:00:00"/>
    <x v="0"/>
    <s v="Tablet"/>
    <s v="Customer_43"/>
    <x v="1"/>
    <n v="997"/>
    <n v="4"/>
    <n v="132"/>
    <n v="3988"/>
    <s v="August"/>
  </r>
  <r>
    <s v="ORD0166"/>
    <d v="2023-08-09T00:00:00"/>
    <x v="2"/>
    <s v="Dress"/>
    <s v="Customer_23"/>
    <x v="3"/>
    <n v="266"/>
    <n v="5"/>
    <n v="39"/>
    <n v="1330"/>
    <s v="August"/>
  </r>
  <r>
    <s v="ORD0167"/>
    <d v="2023-11-03T00:00:00"/>
    <x v="1"/>
    <s v="Mixer"/>
    <s v="Customer_26"/>
    <x v="2"/>
    <n v="156"/>
    <n v="2"/>
    <n v="17"/>
    <n v="312"/>
    <s v="November"/>
  </r>
  <r>
    <s v="ORD0168"/>
    <d v="2023-06-17T00:00:00"/>
    <x v="2"/>
    <s v="Jeans"/>
    <s v="Customer_19"/>
    <x v="0"/>
    <n v="283"/>
    <n v="4"/>
    <n v="56"/>
    <n v="1132"/>
    <s v="June"/>
  </r>
  <r>
    <s v="ORD0169"/>
    <d v="2023-12-27T00:00:00"/>
    <x v="2"/>
    <s v="Jeans"/>
    <s v="Customer_35"/>
    <x v="1"/>
    <n v="498"/>
    <n v="5"/>
    <n v="108"/>
    <n v="2490"/>
    <s v="December"/>
  </r>
  <r>
    <s v="ORD0170"/>
    <d v="2023-01-22T00:00:00"/>
    <x v="1"/>
    <s v="Mixer"/>
    <s v="Customer_48"/>
    <x v="1"/>
    <n v="900"/>
    <n v="4"/>
    <n v="210"/>
    <n v="3600"/>
    <s v="January"/>
  </r>
  <r>
    <s v="ORD0171"/>
    <d v="2023-07-27T00:00:00"/>
    <x v="1"/>
    <s v="Lamp"/>
    <s v="Customer_37"/>
    <x v="1"/>
    <n v="1433"/>
    <n v="4"/>
    <n v="154"/>
    <n v="5732"/>
    <s v="July"/>
  </r>
  <r>
    <s v="ORD0172"/>
    <d v="2023-11-13T00:00:00"/>
    <x v="3"/>
    <s v="Skincare"/>
    <s v="Customer_11"/>
    <x v="0"/>
    <n v="947"/>
    <n v="3"/>
    <n v="64"/>
    <n v="2841"/>
    <s v="November"/>
  </r>
  <r>
    <s v="ORD0173"/>
    <d v="2023-07-25T00:00:00"/>
    <x v="0"/>
    <s v="Smartphone"/>
    <s v="Customer_38"/>
    <x v="1"/>
    <n v="1071"/>
    <n v="4"/>
    <n v="240"/>
    <n v="4284"/>
    <s v="July"/>
  </r>
  <r>
    <s v="ORD0174"/>
    <d v="2023-03-28T00:00:00"/>
    <x v="1"/>
    <s v="Cookware"/>
    <s v="Customer_50"/>
    <x v="0"/>
    <n v="198"/>
    <n v="1"/>
    <n v="31"/>
    <n v="198"/>
    <s v="March"/>
  </r>
  <r>
    <s v="ORD0175"/>
    <d v="2023-11-27T00:00:00"/>
    <x v="2"/>
    <s v="Jacket"/>
    <s v="Customer_47"/>
    <x v="0"/>
    <n v="1639"/>
    <n v="2"/>
    <n v="115"/>
    <n v="3278"/>
    <s v="November"/>
  </r>
  <r>
    <s v="ORD0176"/>
    <d v="2023-03-20T00:00:00"/>
    <x v="1"/>
    <s v="Cookware"/>
    <s v="Customer_39"/>
    <x v="2"/>
    <n v="1532"/>
    <n v="1"/>
    <n v="130"/>
    <n v="1532"/>
    <s v="March"/>
  </r>
  <r>
    <s v="ORD0177"/>
    <d v="2023-10-17T00:00:00"/>
    <x v="3"/>
    <s v="Haircare"/>
    <s v="Customer_44"/>
    <x v="1"/>
    <n v="1303"/>
    <n v="5"/>
    <n v="149"/>
    <n v="6515"/>
    <s v="October"/>
  </r>
  <r>
    <s v="ORD0178"/>
    <d v="2023-08-29T00:00:00"/>
    <x v="1"/>
    <s v="Cookware"/>
    <s v="Customer_5"/>
    <x v="1"/>
    <n v="912"/>
    <n v="3"/>
    <n v="190"/>
    <n v="2736"/>
    <s v="August"/>
  </r>
  <r>
    <s v="ORD0179"/>
    <d v="2023-08-25T00:00:00"/>
    <x v="0"/>
    <s v="Tablet"/>
    <s v="Customer_20"/>
    <x v="3"/>
    <n v="931"/>
    <n v="1"/>
    <n v="115"/>
    <n v="931"/>
    <s v="August"/>
  </r>
  <r>
    <s v="ORD0180"/>
    <d v="2023-11-01T00:00:00"/>
    <x v="1"/>
    <s v="Mixer"/>
    <s v="Customer_40"/>
    <x v="3"/>
    <n v="1038"/>
    <n v="4"/>
    <n v="172"/>
    <n v="4152"/>
    <s v="November"/>
  </r>
  <r>
    <s v="ORD0181"/>
    <d v="2023-11-06T00:00:00"/>
    <x v="0"/>
    <s v="Headphones"/>
    <s v="Customer_21"/>
    <x v="2"/>
    <n v="977"/>
    <n v="2"/>
    <n v="236"/>
    <n v="1954"/>
    <s v="November"/>
  </r>
  <r>
    <s v="ORD0182"/>
    <d v="2023-02-13T00:00:00"/>
    <x v="3"/>
    <s v="Skincare"/>
    <s v="Customer_46"/>
    <x v="0"/>
    <n v="1033"/>
    <n v="2"/>
    <n v="59"/>
    <n v="2066"/>
    <s v="February"/>
  </r>
  <r>
    <s v="ORD0183"/>
    <d v="2023-07-10T00:00:00"/>
    <x v="3"/>
    <s v="Haircare"/>
    <s v="Customer_24"/>
    <x v="2"/>
    <n v="1839"/>
    <n v="4"/>
    <n v="242"/>
    <n v="7356"/>
    <s v="July"/>
  </r>
  <r>
    <s v="ORD0184"/>
    <d v="2023-11-28T00:00:00"/>
    <x v="1"/>
    <s v="Lamp"/>
    <s v="Customer_41"/>
    <x v="3"/>
    <n v="702"/>
    <n v="3"/>
    <n v="48"/>
    <n v="2106"/>
    <s v="November"/>
  </r>
  <r>
    <s v="ORD0185"/>
    <d v="2023-12-03T00:00:00"/>
    <x v="3"/>
    <s v="Perfume"/>
    <s v="Customer_47"/>
    <x v="0"/>
    <n v="1930"/>
    <n v="5"/>
    <n v="433"/>
    <n v="9650"/>
    <s v="December"/>
  </r>
  <r>
    <s v="ORD0186"/>
    <d v="2023-06-08T00:00:00"/>
    <x v="1"/>
    <s v="Mixer"/>
    <s v="Customer_23"/>
    <x v="2"/>
    <n v="1937"/>
    <n v="4"/>
    <n v="146"/>
    <n v="7748"/>
    <s v="June"/>
  </r>
  <r>
    <s v="ORD0187"/>
    <d v="2023-06-18T00:00:00"/>
    <x v="0"/>
    <s v="Tablet"/>
    <s v="Customer_42"/>
    <x v="1"/>
    <n v="1635"/>
    <n v="5"/>
    <n v="112"/>
    <n v="8175"/>
    <s v="June"/>
  </r>
  <r>
    <s v="ORD0188"/>
    <d v="2023-07-05T00:00:00"/>
    <x v="3"/>
    <s v="Nail Polish"/>
    <s v="Customer_2"/>
    <x v="0"/>
    <n v="652"/>
    <n v="2"/>
    <n v="77"/>
    <n v="1304"/>
    <s v="July"/>
  </r>
  <r>
    <s v="ORD0189"/>
    <d v="2023-03-21T00:00:00"/>
    <x v="3"/>
    <s v="Makeup"/>
    <s v="Customer_9"/>
    <x v="2"/>
    <n v="200"/>
    <n v="1"/>
    <n v="30"/>
    <n v="200"/>
    <s v="March"/>
  </r>
  <r>
    <s v="ORD0190"/>
    <d v="2023-07-12T00:00:00"/>
    <x v="0"/>
    <s v="Tablet"/>
    <s v="Customer_39"/>
    <x v="2"/>
    <n v="350"/>
    <n v="2"/>
    <n v="75"/>
    <n v="700"/>
    <s v="July"/>
  </r>
  <r>
    <s v="ORD0191"/>
    <d v="2023-07-06T00:00:00"/>
    <x v="2"/>
    <s v="Shoes"/>
    <s v="Customer_27"/>
    <x v="3"/>
    <n v="1368"/>
    <n v="2"/>
    <n v="333"/>
    <n v="2736"/>
    <s v="July"/>
  </r>
  <r>
    <s v="ORD0192"/>
    <d v="2023-05-03T00:00:00"/>
    <x v="1"/>
    <s v="Mattress"/>
    <s v="Customer_35"/>
    <x v="2"/>
    <n v="653"/>
    <n v="4"/>
    <n v="150"/>
    <n v="2612"/>
    <s v="May"/>
  </r>
  <r>
    <s v="ORD0193"/>
    <d v="2023-05-25T00:00:00"/>
    <x v="2"/>
    <s v="Jacket"/>
    <s v="Customer_30"/>
    <x v="1"/>
    <n v="1567"/>
    <n v="5"/>
    <n v="243"/>
    <n v="7835"/>
    <s v="May"/>
  </r>
  <r>
    <s v="ORD0194"/>
    <d v="2023-01-27T00:00:00"/>
    <x v="2"/>
    <s v="Jeans"/>
    <s v="Customer_17"/>
    <x v="2"/>
    <n v="1300"/>
    <n v="3"/>
    <n v="209"/>
    <n v="3900"/>
    <s v="January"/>
  </r>
  <r>
    <s v="ORD0195"/>
    <d v="2023-02-12T00:00:00"/>
    <x v="0"/>
    <s v="Camera"/>
    <s v="Customer_19"/>
    <x v="3"/>
    <n v="1538"/>
    <n v="3"/>
    <n v="215"/>
    <n v="4614"/>
    <s v="February"/>
  </r>
  <r>
    <s v="ORD0196"/>
    <d v="2023-08-19T00:00:00"/>
    <x v="2"/>
    <s v="Shoes"/>
    <s v="Customer_15"/>
    <x v="3"/>
    <n v="1775"/>
    <n v="1"/>
    <n v="236"/>
    <n v="1775"/>
    <s v="August"/>
  </r>
  <r>
    <s v="ORD0197"/>
    <d v="2023-07-17T00:00:00"/>
    <x v="3"/>
    <s v="Nail Polish"/>
    <s v="Customer_16"/>
    <x v="0"/>
    <n v="1989"/>
    <n v="3"/>
    <n v="188"/>
    <n v="5967"/>
    <s v="July"/>
  </r>
  <r>
    <s v="ORD0198"/>
    <d v="2023-03-12T00:00:00"/>
    <x v="1"/>
    <s v="Mixer"/>
    <s v="Customer_10"/>
    <x v="0"/>
    <n v="124"/>
    <n v="4"/>
    <n v="23"/>
    <n v="496"/>
    <s v="March"/>
  </r>
  <r>
    <s v="ORD0199"/>
    <d v="2023-01-03T00:00:00"/>
    <x v="2"/>
    <s v="Shoes"/>
    <s v="Customer_40"/>
    <x v="1"/>
    <n v="1816"/>
    <n v="1"/>
    <n v="183"/>
    <n v="1816"/>
    <s v="January"/>
  </r>
  <r>
    <s v="ORD0200"/>
    <d v="2023-05-28T00:00:00"/>
    <x v="2"/>
    <s v="Dress"/>
    <s v="Customer_8"/>
    <x v="1"/>
    <n v="513"/>
    <n v="1"/>
    <n v="30"/>
    <n v="513"/>
    <s v="May"/>
  </r>
  <r>
    <s v="ORD0201"/>
    <d v="2023-02-26T00:00:00"/>
    <x v="3"/>
    <s v="Nail Polish"/>
    <s v="Customer_5"/>
    <x v="1"/>
    <n v="1681"/>
    <n v="4"/>
    <n v="284"/>
    <n v="6724"/>
    <s v="February"/>
  </r>
  <r>
    <s v="ORD0202"/>
    <d v="2023-03-15T00:00:00"/>
    <x v="0"/>
    <s v="Camera"/>
    <s v="Customer_46"/>
    <x v="2"/>
    <n v="617"/>
    <n v="1"/>
    <n v="106"/>
    <n v="617"/>
    <s v="March"/>
  </r>
  <r>
    <s v="ORD0203"/>
    <d v="2023-12-07T00:00:00"/>
    <x v="2"/>
    <s v="Dress"/>
    <s v="Customer_12"/>
    <x v="1"/>
    <n v="1353"/>
    <n v="5"/>
    <n v="331"/>
    <n v="6765"/>
    <s v="December"/>
  </r>
  <r>
    <s v="ORD0204"/>
    <d v="2023-08-29T00:00:00"/>
    <x v="0"/>
    <s v="Camera"/>
    <s v="Customer_25"/>
    <x v="3"/>
    <n v="134"/>
    <n v="4"/>
    <n v="33"/>
    <n v="536"/>
    <s v="August"/>
  </r>
  <r>
    <s v="ORD0205"/>
    <d v="2023-06-26T00:00:00"/>
    <x v="1"/>
    <s v="Mixer"/>
    <s v="Customer_5"/>
    <x v="0"/>
    <n v="520"/>
    <n v="1"/>
    <n v="106"/>
    <n v="520"/>
    <s v="June"/>
  </r>
  <r>
    <s v="ORD0206"/>
    <d v="2023-10-07T00:00:00"/>
    <x v="1"/>
    <s v="Cookware"/>
    <s v="Customer_23"/>
    <x v="3"/>
    <n v="710"/>
    <n v="2"/>
    <n v="153"/>
    <n v="1420"/>
    <s v="October"/>
  </r>
  <r>
    <s v="ORD0207"/>
    <d v="2023-02-02T00:00:00"/>
    <x v="3"/>
    <s v="Haircare"/>
    <s v="Customer_9"/>
    <x v="2"/>
    <n v="1446"/>
    <n v="4"/>
    <n v="83"/>
    <n v="5784"/>
    <s v="February"/>
  </r>
  <r>
    <s v="ORD0208"/>
    <d v="2023-06-11T00:00:00"/>
    <x v="2"/>
    <s v="Shirt"/>
    <s v="Customer_3"/>
    <x v="2"/>
    <n v="1870"/>
    <n v="5"/>
    <n v="242"/>
    <n v="9350"/>
    <s v="June"/>
  </r>
  <r>
    <s v="ORD0209"/>
    <d v="2023-11-28T00:00:00"/>
    <x v="3"/>
    <s v="Perfume"/>
    <s v="Customer_49"/>
    <x v="3"/>
    <n v="422"/>
    <n v="3"/>
    <n v="94"/>
    <n v="1266"/>
    <s v="November"/>
  </r>
  <r>
    <s v="ORD0210"/>
    <d v="2023-07-08T00:00:00"/>
    <x v="0"/>
    <s v="Tablet"/>
    <s v="Customer_8"/>
    <x v="0"/>
    <n v="902"/>
    <n v="4"/>
    <n v="179"/>
    <n v="3608"/>
    <s v="July"/>
  </r>
  <r>
    <s v="ORD0211"/>
    <d v="2023-12-21T00:00:00"/>
    <x v="3"/>
    <s v="Perfume"/>
    <s v="Customer_32"/>
    <x v="2"/>
    <n v="1020"/>
    <n v="5"/>
    <n v="105"/>
    <n v="5100"/>
    <s v="December"/>
  </r>
  <r>
    <s v="ORD0212"/>
    <d v="2023-11-05T00:00:00"/>
    <x v="0"/>
    <s v="Headphones"/>
    <s v="Customer_28"/>
    <x v="3"/>
    <n v="1990"/>
    <n v="2"/>
    <n v="316"/>
    <n v="3980"/>
    <s v="November"/>
  </r>
  <r>
    <s v="ORD0213"/>
    <d v="2023-12-05T00:00:00"/>
    <x v="1"/>
    <s v="Mixer"/>
    <s v="Customer_21"/>
    <x v="3"/>
    <n v="626"/>
    <n v="4"/>
    <n v="106"/>
    <n v="2504"/>
    <s v="December"/>
  </r>
  <r>
    <s v="ORD0214"/>
    <d v="2023-08-17T00:00:00"/>
    <x v="3"/>
    <s v="Makeup"/>
    <s v="Customer_23"/>
    <x v="1"/>
    <n v="132"/>
    <n v="3"/>
    <n v="22"/>
    <n v="396"/>
    <s v="August"/>
  </r>
  <r>
    <s v="ORD0215"/>
    <d v="2023-12-10T00:00:00"/>
    <x v="3"/>
    <s v="Perfume"/>
    <s v="Customer_5"/>
    <x v="3"/>
    <n v="1293"/>
    <n v="3"/>
    <n v="197"/>
    <n v="3879"/>
    <s v="December"/>
  </r>
  <r>
    <s v="ORD0216"/>
    <d v="2023-12-14T00:00:00"/>
    <x v="2"/>
    <s v="Shirt"/>
    <s v="Customer_39"/>
    <x v="2"/>
    <n v="1573"/>
    <n v="1"/>
    <n v="118"/>
    <n v="1573"/>
    <s v="December"/>
  </r>
  <r>
    <s v="ORD0217"/>
    <d v="2023-10-18T00:00:00"/>
    <x v="2"/>
    <s v="Jacket"/>
    <s v="Customer_25"/>
    <x v="0"/>
    <n v="113"/>
    <n v="2"/>
    <n v="21"/>
    <n v="226"/>
    <s v="October"/>
  </r>
  <r>
    <s v="ORD0218"/>
    <d v="2023-02-09T00:00:00"/>
    <x v="1"/>
    <s v="Furniture"/>
    <s v="Customer_49"/>
    <x v="1"/>
    <n v="1169"/>
    <n v="5"/>
    <n v="144"/>
    <n v="5845"/>
    <s v="February"/>
  </r>
  <r>
    <s v="ORD0219"/>
    <d v="2023-01-14T00:00:00"/>
    <x v="1"/>
    <s v="Furniture"/>
    <s v="Customer_8"/>
    <x v="2"/>
    <n v="1484"/>
    <n v="4"/>
    <n v="227"/>
    <n v="5936"/>
    <s v="January"/>
  </r>
  <r>
    <s v="ORD0220"/>
    <d v="2023-08-17T00:00:00"/>
    <x v="0"/>
    <s v="Tablet"/>
    <s v="Customer_46"/>
    <x v="0"/>
    <n v="468"/>
    <n v="5"/>
    <n v="50"/>
    <n v="2340"/>
    <s v="August"/>
  </r>
  <r>
    <s v="ORD0221"/>
    <d v="2023-02-07T00:00:00"/>
    <x v="3"/>
    <s v="Makeup"/>
    <s v="Customer_9"/>
    <x v="3"/>
    <n v="931"/>
    <n v="4"/>
    <n v="232"/>
    <n v="3724"/>
    <s v="February"/>
  </r>
  <r>
    <s v="ORD0222"/>
    <d v="2023-10-05T00:00:00"/>
    <x v="1"/>
    <s v="Furniture"/>
    <s v="Customer_36"/>
    <x v="3"/>
    <n v="616"/>
    <n v="3"/>
    <n v="135"/>
    <n v="1848"/>
    <s v="October"/>
  </r>
  <r>
    <s v="ORD0223"/>
    <d v="2023-04-13T00:00:00"/>
    <x v="2"/>
    <s v="Jacket"/>
    <s v="Customer_8"/>
    <x v="2"/>
    <n v="1594"/>
    <n v="2"/>
    <n v="331"/>
    <n v="3188"/>
    <s v="April"/>
  </r>
  <r>
    <s v="ORD0224"/>
    <d v="2023-10-10T00:00:00"/>
    <x v="0"/>
    <s v="Tablet"/>
    <s v="Customer_30"/>
    <x v="0"/>
    <n v="303"/>
    <n v="1"/>
    <n v="19"/>
    <n v="303"/>
    <s v="October"/>
  </r>
  <r>
    <s v="ORD0225"/>
    <d v="2023-07-29T00:00:00"/>
    <x v="3"/>
    <s v="Haircare"/>
    <s v="Customer_50"/>
    <x v="1"/>
    <n v="1655"/>
    <n v="1"/>
    <n v="124"/>
    <n v="1655"/>
    <s v="July"/>
  </r>
  <r>
    <s v="ORD0226"/>
    <d v="2023-12-15T00:00:00"/>
    <x v="1"/>
    <s v="Mixer"/>
    <s v="Customer_30"/>
    <x v="1"/>
    <n v="1058"/>
    <n v="2"/>
    <n v="238"/>
    <n v="2116"/>
    <s v="December"/>
  </r>
  <r>
    <s v="ORD0227"/>
    <d v="2023-01-29T00:00:00"/>
    <x v="2"/>
    <s v="Jeans"/>
    <s v="Customer_33"/>
    <x v="1"/>
    <n v="1671"/>
    <n v="5"/>
    <n v="134"/>
    <n v="8355"/>
    <s v="January"/>
  </r>
  <r>
    <s v="ORD0228"/>
    <d v="2023-04-26T00:00:00"/>
    <x v="2"/>
    <s v="Jeans"/>
    <s v="Customer_46"/>
    <x v="0"/>
    <n v="724"/>
    <n v="5"/>
    <n v="165"/>
    <n v="3620"/>
    <s v="April"/>
  </r>
  <r>
    <s v="ORD0229"/>
    <d v="2023-10-10T00:00:00"/>
    <x v="0"/>
    <s v="Tablet"/>
    <s v="Customer_41"/>
    <x v="2"/>
    <n v="585"/>
    <n v="3"/>
    <n v="101"/>
    <n v="1755"/>
    <s v="October"/>
  </r>
  <r>
    <s v="ORD0230"/>
    <d v="2023-10-25T00:00:00"/>
    <x v="0"/>
    <s v="Camera"/>
    <s v="Customer_38"/>
    <x v="2"/>
    <n v="350"/>
    <n v="5"/>
    <n v="68"/>
    <n v="1750"/>
    <s v="October"/>
  </r>
  <r>
    <s v="ORD0231"/>
    <d v="2023-02-11T00:00:00"/>
    <x v="1"/>
    <s v="Lamp"/>
    <s v="Customer_2"/>
    <x v="3"/>
    <n v="138"/>
    <n v="5"/>
    <n v="14"/>
    <n v="690"/>
    <s v="February"/>
  </r>
  <r>
    <s v="ORD0232"/>
    <d v="2023-11-24T00:00:00"/>
    <x v="2"/>
    <s v="Dress"/>
    <s v="Customer_40"/>
    <x v="1"/>
    <n v="109"/>
    <n v="5"/>
    <n v="11"/>
    <n v="545"/>
    <s v="November"/>
  </r>
  <r>
    <s v="ORD0233"/>
    <d v="2023-07-27T00:00:00"/>
    <x v="1"/>
    <s v="Mattress"/>
    <s v="Customer_44"/>
    <x v="2"/>
    <n v="630"/>
    <n v="1"/>
    <n v="118"/>
    <n v="630"/>
    <s v="July"/>
  </r>
  <r>
    <s v="ORD0234"/>
    <d v="2023-08-26T00:00:00"/>
    <x v="2"/>
    <s v="Shoes"/>
    <s v="Customer_31"/>
    <x v="1"/>
    <n v="447"/>
    <n v="5"/>
    <n v="35"/>
    <n v="2235"/>
    <s v="August"/>
  </r>
  <r>
    <s v="ORD0235"/>
    <d v="2023-07-09T00:00:00"/>
    <x v="1"/>
    <s v="Furniture"/>
    <s v="Customer_9"/>
    <x v="1"/>
    <n v="1054"/>
    <n v="1"/>
    <n v="119"/>
    <n v="1054"/>
    <s v="July"/>
  </r>
  <r>
    <s v="ORD0236"/>
    <d v="2023-05-07T00:00:00"/>
    <x v="3"/>
    <s v="Skincare"/>
    <s v="Customer_29"/>
    <x v="0"/>
    <n v="324"/>
    <n v="1"/>
    <n v="35"/>
    <n v="324"/>
    <s v="May"/>
  </r>
  <r>
    <s v="ORD0237"/>
    <d v="2023-03-23T00:00:00"/>
    <x v="3"/>
    <s v="Nail Polish"/>
    <s v="Customer_16"/>
    <x v="1"/>
    <n v="1636"/>
    <n v="5"/>
    <n v="317"/>
    <n v="8180"/>
    <s v="March"/>
  </r>
  <r>
    <s v="ORD0238"/>
    <d v="2023-08-28T00:00:00"/>
    <x v="2"/>
    <s v="Jeans"/>
    <s v="Customer_33"/>
    <x v="1"/>
    <n v="1022"/>
    <n v="3"/>
    <n v="152"/>
    <n v="3066"/>
    <s v="August"/>
  </r>
  <r>
    <s v="ORD0239"/>
    <d v="2023-04-21T00:00:00"/>
    <x v="0"/>
    <s v="Headphones"/>
    <s v="Customer_16"/>
    <x v="1"/>
    <n v="1187"/>
    <n v="1"/>
    <n v="71"/>
    <n v="1187"/>
    <s v="April"/>
  </r>
  <r>
    <s v="ORD0240"/>
    <d v="2023-10-02T00:00:00"/>
    <x v="3"/>
    <s v="Nail Polish"/>
    <s v="Customer_19"/>
    <x v="1"/>
    <n v="65"/>
    <n v="1"/>
    <n v="8"/>
    <n v="65"/>
    <s v="October"/>
  </r>
  <r>
    <s v="ORD0241"/>
    <d v="2023-01-24T00:00:00"/>
    <x v="1"/>
    <s v="Furniture"/>
    <s v="Customer_24"/>
    <x v="1"/>
    <n v="831"/>
    <n v="5"/>
    <n v="134"/>
    <n v="4155"/>
    <s v="January"/>
  </r>
  <r>
    <s v="ORD0242"/>
    <d v="2023-07-17T00:00:00"/>
    <x v="1"/>
    <s v="Lamp"/>
    <s v="Customer_5"/>
    <x v="0"/>
    <n v="1033"/>
    <n v="5"/>
    <n v="109"/>
    <n v="5165"/>
    <s v="July"/>
  </r>
  <r>
    <s v="ORD0243"/>
    <d v="2023-07-11T00:00:00"/>
    <x v="0"/>
    <s v="Smartphone"/>
    <s v="Customer_26"/>
    <x v="3"/>
    <n v="1600"/>
    <n v="3"/>
    <n v="258"/>
    <n v="4800"/>
    <s v="July"/>
  </r>
  <r>
    <s v="ORD0244"/>
    <d v="2023-09-18T00:00:00"/>
    <x v="1"/>
    <s v="Cookware"/>
    <s v="Customer_39"/>
    <x v="2"/>
    <n v="832"/>
    <n v="1"/>
    <n v="49"/>
    <n v="832"/>
    <s v="September"/>
  </r>
  <r>
    <s v="ORD0245"/>
    <d v="2023-08-22T00:00:00"/>
    <x v="2"/>
    <s v="Jacket"/>
    <s v="Customer_34"/>
    <x v="1"/>
    <n v="340"/>
    <n v="5"/>
    <n v="26"/>
    <n v="1700"/>
    <s v="August"/>
  </r>
  <r>
    <s v="ORD0246"/>
    <d v="2023-06-03T00:00:00"/>
    <x v="1"/>
    <s v="Cookware"/>
    <s v="Customer_40"/>
    <x v="1"/>
    <n v="1207"/>
    <n v="5"/>
    <n v="260"/>
    <n v="6035"/>
    <s v="June"/>
  </r>
  <r>
    <s v="ORD0247"/>
    <d v="2023-01-09T00:00:00"/>
    <x v="3"/>
    <s v="Nail Polish"/>
    <s v="Customer_31"/>
    <x v="0"/>
    <n v="768"/>
    <n v="1"/>
    <n v="188"/>
    <n v="768"/>
    <s v="January"/>
  </r>
  <r>
    <s v="ORD0248"/>
    <d v="2023-12-02T00:00:00"/>
    <x v="1"/>
    <s v="Mixer"/>
    <s v="Customer_17"/>
    <x v="1"/>
    <n v="1576"/>
    <n v="5"/>
    <n v="260"/>
    <n v="7880"/>
    <s v="December"/>
  </r>
  <r>
    <s v="ORD0249"/>
    <d v="2023-09-26T00:00:00"/>
    <x v="0"/>
    <s v="Camera"/>
    <s v="Customer_11"/>
    <x v="1"/>
    <n v="1276"/>
    <n v="5"/>
    <n v="261"/>
    <n v="6380"/>
    <s v="September"/>
  </r>
  <r>
    <s v="ORD0250"/>
    <d v="2023-10-21T00:00:00"/>
    <x v="3"/>
    <s v="Makeup"/>
    <s v="Customer_3"/>
    <x v="2"/>
    <n v="1899"/>
    <n v="1"/>
    <n v="167"/>
    <n v="1899"/>
    <s v="October"/>
  </r>
  <r>
    <s v="ORD0251"/>
    <d v="2023-07-31T00:00:00"/>
    <x v="3"/>
    <s v="Perfume"/>
    <s v="Customer_10"/>
    <x v="1"/>
    <n v="1396"/>
    <n v="4"/>
    <n v="209"/>
    <n v="5584"/>
    <s v="July"/>
  </r>
  <r>
    <s v="ORD0252"/>
    <d v="2023-04-17T00:00:00"/>
    <x v="3"/>
    <s v="Skincare"/>
    <s v="Customer_34"/>
    <x v="2"/>
    <n v="1143"/>
    <n v="4"/>
    <n v="177"/>
    <n v="4572"/>
    <s v="April"/>
  </r>
  <r>
    <s v="ORD0253"/>
    <d v="2023-06-25T00:00:00"/>
    <x v="1"/>
    <s v="Cookware"/>
    <s v="Customer_35"/>
    <x v="1"/>
    <n v="1115"/>
    <n v="3"/>
    <n v="191"/>
    <n v="3345"/>
    <s v="June"/>
  </r>
  <r>
    <s v="ORD0254"/>
    <d v="2023-06-02T00:00:00"/>
    <x v="2"/>
    <s v="Jeans"/>
    <s v="Customer_36"/>
    <x v="0"/>
    <n v="488"/>
    <n v="3"/>
    <n v="99"/>
    <n v="1464"/>
    <s v="June"/>
  </r>
  <r>
    <s v="ORD0255"/>
    <d v="2023-06-28T00:00:00"/>
    <x v="2"/>
    <s v="Shoes"/>
    <s v="Customer_31"/>
    <x v="0"/>
    <n v="1142"/>
    <n v="3"/>
    <n v="122"/>
    <n v="3426"/>
    <s v="June"/>
  </r>
  <r>
    <s v="ORD0256"/>
    <d v="2023-03-16T00:00:00"/>
    <x v="3"/>
    <s v="Haircare"/>
    <s v="Customer_50"/>
    <x v="0"/>
    <n v="616"/>
    <n v="3"/>
    <n v="148"/>
    <n v="1848"/>
    <s v="March"/>
  </r>
  <r>
    <s v="ORD0257"/>
    <d v="2023-05-12T00:00:00"/>
    <x v="0"/>
    <s v="Tablet"/>
    <s v="Customer_42"/>
    <x v="1"/>
    <n v="1507"/>
    <n v="2"/>
    <n v="136"/>
    <n v="3014"/>
    <s v="May"/>
  </r>
  <r>
    <s v="ORD0258"/>
    <d v="2023-02-25T00:00:00"/>
    <x v="1"/>
    <s v="Lamp"/>
    <s v="Customer_9"/>
    <x v="0"/>
    <n v="1250"/>
    <n v="5"/>
    <n v="122"/>
    <n v="6250"/>
    <s v="February"/>
  </r>
  <r>
    <s v="ORD0259"/>
    <d v="2023-04-30T00:00:00"/>
    <x v="0"/>
    <s v="Camera"/>
    <s v="Customer_41"/>
    <x v="2"/>
    <n v="152"/>
    <n v="4"/>
    <n v="17"/>
    <n v="608"/>
    <s v="April"/>
  </r>
  <r>
    <s v="ORD0260"/>
    <d v="2023-10-09T00:00:00"/>
    <x v="3"/>
    <s v="Skincare"/>
    <s v="Customer_1"/>
    <x v="2"/>
    <n v="1956"/>
    <n v="2"/>
    <n v="257"/>
    <n v="3912"/>
    <s v="October"/>
  </r>
  <r>
    <s v="ORD0261"/>
    <d v="2023-05-28T00:00:00"/>
    <x v="3"/>
    <s v="Haircare"/>
    <s v="Customer_49"/>
    <x v="2"/>
    <n v="676"/>
    <n v="1"/>
    <n v="156"/>
    <n v="676"/>
    <s v="May"/>
  </r>
  <r>
    <s v="ORD0262"/>
    <d v="2023-01-20T00:00:00"/>
    <x v="0"/>
    <s v="Camera"/>
    <s v="Customer_35"/>
    <x v="2"/>
    <n v="1830"/>
    <n v="2"/>
    <n v="244"/>
    <n v="3660"/>
    <s v="January"/>
  </r>
  <r>
    <s v="ORD0263"/>
    <d v="2023-04-06T00:00:00"/>
    <x v="2"/>
    <s v="Shirt"/>
    <s v="Customer_32"/>
    <x v="1"/>
    <n v="1876"/>
    <n v="3"/>
    <n v="422"/>
    <n v="5628"/>
    <s v="April"/>
  </r>
  <r>
    <s v="ORD0264"/>
    <d v="2023-05-26T00:00:00"/>
    <x v="0"/>
    <s v="Tablet"/>
    <s v="Customer_22"/>
    <x v="3"/>
    <n v="935"/>
    <n v="5"/>
    <n v="144"/>
    <n v="4675"/>
    <s v="May"/>
  </r>
  <r>
    <s v="ORD0265"/>
    <d v="2023-04-09T00:00:00"/>
    <x v="2"/>
    <s v="Dress"/>
    <s v="Customer_18"/>
    <x v="1"/>
    <n v="1627"/>
    <n v="3"/>
    <n v="134"/>
    <n v="4881"/>
    <s v="April"/>
  </r>
  <r>
    <s v="ORD0266"/>
    <d v="2023-06-22T00:00:00"/>
    <x v="3"/>
    <s v="Perfume"/>
    <s v="Customer_1"/>
    <x v="2"/>
    <n v="1592"/>
    <n v="5"/>
    <n v="294"/>
    <n v="7960"/>
    <s v="June"/>
  </r>
  <r>
    <s v="ORD0267"/>
    <d v="2023-09-21T00:00:00"/>
    <x v="2"/>
    <s v="Jeans"/>
    <s v="Customer_28"/>
    <x v="1"/>
    <n v="689"/>
    <n v="4"/>
    <n v="126"/>
    <n v="2756"/>
    <s v="September"/>
  </r>
  <r>
    <s v="ORD0268"/>
    <d v="2023-05-08T00:00:00"/>
    <x v="2"/>
    <s v="Jeans"/>
    <s v="Customer_21"/>
    <x v="1"/>
    <n v="63"/>
    <n v="4"/>
    <n v="6"/>
    <n v="252"/>
    <s v="May"/>
  </r>
  <r>
    <s v="ORD0269"/>
    <d v="2023-10-21T00:00:00"/>
    <x v="1"/>
    <s v="Furniture"/>
    <s v="Customer_38"/>
    <x v="0"/>
    <n v="72"/>
    <n v="3"/>
    <n v="13"/>
    <n v="216"/>
    <s v="October"/>
  </r>
  <r>
    <s v="ORD0270"/>
    <d v="2023-03-23T00:00:00"/>
    <x v="0"/>
    <s v="Laptop"/>
    <s v="Customer_20"/>
    <x v="1"/>
    <n v="840"/>
    <n v="5"/>
    <n v="197"/>
    <n v="4200"/>
    <s v="March"/>
  </r>
  <r>
    <s v="ORD0271"/>
    <d v="2023-11-11T00:00:00"/>
    <x v="1"/>
    <s v="Mixer"/>
    <s v="Customer_24"/>
    <x v="0"/>
    <n v="480"/>
    <n v="2"/>
    <n v="70"/>
    <n v="960"/>
    <s v="November"/>
  </r>
  <r>
    <s v="ORD0272"/>
    <d v="2023-12-26T00:00:00"/>
    <x v="3"/>
    <s v="Nail Polish"/>
    <s v="Customer_27"/>
    <x v="0"/>
    <n v="1121"/>
    <n v="4"/>
    <n v="225"/>
    <n v="4484"/>
    <s v="December"/>
  </r>
  <r>
    <s v="ORD0273"/>
    <d v="2023-08-17T00:00:00"/>
    <x v="2"/>
    <s v="Jeans"/>
    <s v="Customer_34"/>
    <x v="3"/>
    <n v="1079"/>
    <n v="3"/>
    <n v="70"/>
    <n v="3237"/>
    <s v="August"/>
  </r>
  <r>
    <s v="ORD0274"/>
    <d v="2023-10-02T00:00:00"/>
    <x v="0"/>
    <s v="Laptop"/>
    <s v="Customer_37"/>
    <x v="2"/>
    <n v="342"/>
    <n v="3"/>
    <n v="75"/>
    <n v="1026"/>
    <s v="October"/>
  </r>
  <r>
    <s v="ORD0275"/>
    <d v="2023-10-26T00:00:00"/>
    <x v="3"/>
    <s v="Skincare"/>
    <s v="Customer_46"/>
    <x v="2"/>
    <n v="1003"/>
    <n v="5"/>
    <n v="139"/>
    <n v="5015"/>
    <s v="October"/>
  </r>
  <r>
    <s v="ORD0276"/>
    <d v="2023-08-01T00:00:00"/>
    <x v="0"/>
    <s v="Headphones"/>
    <s v="Customer_33"/>
    <x v="2"/>
    <n v="940"/>
    <n v="1"/>
    <n v="152"/>
    <n v="940"/>
    <s v="August"/>
  </r>
  <r>
    <s v="ORD0277"/>
    <d v="2023-01-02T00:00:00"/>
    <x v="1"/>
    <s v="Mixer"/>
    <s v="Customer_17"/>
    <x v="1"/>
    <n v="1504"/>
    <n v="5"/>
    <n v="97"/>
    <n v="7520"/>
    <s v="January"/>
  </r>
  <r>
    <s v="ORD0278"/>
    <d v="2023-01-31T00:00:00"/>
    <x v="3"/>
    <s v="Perfume"/>
    <s v="Customer_35"/>
    <x v="3"/>
    <n v="1872"/>
    <n v="1"/>
    <n v="462"/>
    <n v="1872"/>
    <s v="January"/>
  </r>
  <r>
    <s v="ORD0279"/>
    <d v="2023-04-03T00:00:00"/>
    <x v="3"/>
    <s v="Skincare"/>
    <s v="Customer_27"/>
    <x v="0"/>
    <n v="1549"/>
    <n v="4"/>
    <n v="193"/>
    <n v="6196"/>
    <s v="April"/>
  </r>
  <r>
    <s v="ORD0280"/>
    <d v="2023-02-11T00:00:00"/>
    <x v="3"/>
    <s v="Haircare"/>
    <s v="Customer_25"/>
    <x v="1"/>
    <n v="1381"/>
    <n v="5"/>
    <n v="105"/>
    <n v="6905"/>
    <s v="February"/>
  </r>
  <r>
    <s v="ORD0281"/>
    <d v="2023-07-21T00:00:00"/>
    <x v="1"/>
    <s v="Mixer"/>
    <s v="Customer_35"/>
    <x v="2"/>
    <n v="1081"/>
    <n v="2"/>
    <n v="234"/>
    <n v="2162"/>
    <s v="July"/>
  </r>
  <r>
    <s v="ORD0282"/>
    <d v="2023-10-06T00:00:00"/>
    <x v="0"/>
    <s v="Tablet"/>
    <s v="Customer_44"/>
    <x v="1"/>
    <n v="877"/>
    <n v="4"/>
    <n v="188"/>
    <n v="3508"/>
    <s v="October"/>
  </r>
  <r>
    <s v="ORD0283"/>
    <d v="2023-05-22T00:00:00"/>
    <x v="2"/>
    <s v="Shoes"/>
    <s v="Customer_10"/>
    <x v="0"/>
    <n v="417"/>
    <n v="1"/>
    <n v="23"/>
    <n v="417"/>
    <s v="May"/>
  </r>
  <r>
    <s v="ORD0284"/>
    <d v="2023-04-16T00:00:00"/>
    <x v="3"/>
    <s v="Nail Polish"/>
    <s v="Customer_16"/>
    <x v="3"/>
    <n v="181"/>
    <n v="5"/>
    <n v="10"/>
    <n v="905"/>
    <s v="April"/>
  </r>
  <r>
    <s v="ORD0285"/>
    <d v="2023-08-13T00:00:00"/>
    <x v="0"/>
    <s v="Smartphone"/>
    <s v="Customer_26"/>
    <x v="3"/>
    <n v="506"/>
    <n v="2"/>
    <n v="101"/>
    <n v="1012"/>
    <s v="August"/>
  </r>
  <r>
    <s v="ORD0286"/>
    <d v="2023-10-22T00:00:00"/>
    <x v="0"/>
    <s v="Smartphone"/>
    <s v="Customer_15"/>
    <x v="0"/>
    <n v="671"/>
    <n v="5"/>
    <n v="137"/>
    <n v="3355"/>
    <s v="October"/>
  </r>
  <r>
    <s v="ORD0287"/>
    <d v="2023-12-05T00:00:00"/>
    <x v="1"/>
    <s v="Cookware"/>
    <s v="Customer_10"/>
    <x v="0"/>
    <n v="1066"/>
    <n v="4"/>
    <n v="117"/>
    <n v="4264"/>
    <s v="December"/>
  </r>
  <r>
    <s v="ORD0288"/>
    <d v="2023-12-14T00:00:00"/>
    <x v="0"/>
    <s v="Camera"/>
    <s v="Customer_41"/>
    <x v="2"/>
    <n v="883"/>
    <n v="4"/>
    <n v="52"/>
    <n v="3532"/>
    <s v="December"/>
  </r>
  <r>
    <s v="ORD0289"/>
    <d v="2023-08-02T00:00:00"/>
    <x v="1"/>
    <s v="Mattress"/>
    <s v="Customer_45"/>
    <x v="0"/>
    <n v="846"/>
    <n v="3"/>
    <n v="106"/>
    <n v="2538"/>
    <s v="August"/>
  </r>
  <r>
    <s v="ORD0290"/>
    <d v="2023-12-29T00:00:00"/>
    <x v="3"/>
    <s v="Makeup"/>
    <s v="Customer_20"/>
    <x v="2"/>
    <n v="331"/>
    <n v="4"/>
    <n v="77"/>
    <n v="1324"/>
    <s v="December"/>
  </r>
  <r>
    <s v="ORD0291"/>
    <d v="2023-05-05T00:00:00"/>
    <x v="3"/>
    <s v="Haircare"/>
    <s v="Customer_25"/>
    <x v="2"/>
    <n v="547"/>
    <n v="3"/>
    <n v="98"/>
    <n v="1641"/>
    <s v="May"/>
  </r>
  <r>
    <s v="ORD0292"/>
    <d v="2023-04-08T00:00:00"/>
    <x v="3"/>
    <s v="Perfume"/>
    <s v="Customer_35"/>
    <x v="3"/>
    <n v="150"/>
    <n v="4"/>
    <n v="27"/>
    <n v="600"/>
    <s v="April"/>
  </r>
  <r>
    <s v="ORD0293"/>
    <d v="2023-10-28T00:00:00"/>
    <x v="0"/>
    <s v="Laptop"/>
    <s v="Customer_49"/>
    <x v="2"/>
    <n v="1462"/>
    <n v="5"/>
    <n v="136"/>
    <n v="7310"/>
    <s v="October"/>
  </r>
  <r>
    <s v="ORD0294"/>
    <d v="2023-04-19T00:00:00"/>
    <x v="2"/>
    <s v="Jacket"/>
    <s v="Customer_1"/>
    <x v="0"/>
    <n v="1877"/>
    <n v="1"/>
    <n v="374"/>
    <n v="1877"/>
    <s v="April"/>
  </r>
  <r>
    <s v="ORD0295"/>
    <d v="2023-05-03T00:00:00"/>
    <x v="3"/>
    <s v="Makeup"/>
    <s v="Customer_26"/>
    <x v="2"/>
    <n v="1126"/>
    <n v="3"/>
    <n v="142"/>
    <n v="3378"/>
    <s v="May"/>
  </r>
  <r>
    <s v="ORD0296"/>
    <d v="2023-09-20T00:00:00"/>
    <x v="1"/>
    <s v="Furniture"/>
    <s v="Customer_24"/>
    <x v="0"/>
    <n v="1771"/>
    <n v="4"/>
    <n v="123"/>
    <n v="7084"/>
    <s v="September"/>
  </r>
  <r>
    <s v="ORD0297"/>
    <d v="2023-06-10T00:00:00"/>
    <x v="3"/>
    <s v="Perfume"/>
    <s v="Customer_24"/>
    <x v="2"/>
    <n v="857"/>
    <n v="5"/>
    <n v="190"/>
    <n v="4285"/>
    <s v="June"/>
  </r>
  <r>
    <s v="ORD0298"/>
    <d v="2023-10-27T00:00:00"/>
    <x v="2"/>
    <s v="Shirt"/>
    <s v="Customer_36"/>
    <x v="0"/>
    <n v="1179"/>
    <n v="4"/>
    <n v="128"/>
    <n v="4716"/>
    <s v="October"/>
  </r>
  <r>
    <s v="ORD0299"/>
    <d v="2023-10-19T00:00:00"/>
    <x v="2"/>
    <s v="Jacket"/>
    <s v="Customer_25"/>
    <x v="2"/>
    <n v="1675"/>
    <n v="4"/>
    <n v="268"/>
    <n v="6700"/>
    <s v="October"/>
  </r>
  <r>
    <s v="ORD0300"/>
    <d v="2023-11-25T00:00:00"/>
    <x v="1"/>
    <s v="Furniture"/>
    <s v="Customer_47"/>
    <x v="1"/>
    <n v="1492"/>
    <n v="4"/>
    <n v="124"/>
    <n v="5968"/>
    <s v="November"/>
  </r>
  <r>
    <s v="ORD0301"/>
    <d v="2023-10-07T00:00:00"/>
    <x v="1"/>
    <s v="Cookware"/>
    <s v="Customer_47"/>
    <x v="2"/>
    <n v="1002"/>
    <n v="5"/>
    <n v="248"/>
    <n v="5010"/>
    <s v="October"/>
  </r>
  <r>
    <s v="ORD0302"/>
    <d v="2023-12-09T00:00:00"/>
    <x v="0"/>
    <s v="Camera"/>
    <s v="Customer_5"/>
    <x v="3"/>
    <n v="144"/>
    <n v="1"/>
    <n v="19"/>
    <n v="144"/>
    <s v="December"/>
  </r>
  <r>
    <s v="ORD0303"/>
    <d v="2023-04-22T00:00:00"/>
    <x v="2"/>
    <s v="Shirt"/>
    <s v="Customer_1"/>
    <x v="2"/>
    <n v="1036"/>
    <n v="3"/>
    <n v="64"/>
    <n v="3108"/>
    <s v="April"/>
  </r>
  <r>
    <s v="ORD0304"/>
    <d v="2023-09-30T00:00:00"/>
    <x v="3"/>
    <s v="Haircare"/>
    <s v="Customer_1"/>
    <x v="3"/>
    <n v="1125"/>
    <n v="1"/>
    <n v="60"/>
    <n v="1125"/>
    <s v="September"/>
  </r>
  <r>
    <s v="ORD0305"/>
    <d v="2023-09-15T00:00:00"/>
    <x v="1"/>
    <s v="Lamp"/>
    <s v="Customer_2"/>
    <x v="0"/>
    <n v="1635"/>
    <n v="4"/>
    <n v="345"/>
    <n v="6540"/>
    <s v="September"/>
  </r>
  <r>
    <s v="ORD0306"/>
    <d v="2023-03-18T00:00:00"/>
    <x v="2"/>
    <s v="Shirt"/>
    <s v="Customer_34"/>
    <x v="3"/>
    <n v="519"/>
    <n v="5"/>
    <n v="80"/>
    <n v="2595"/>
    <s v="March"/>
  </r>
  <r>
    <s v="ORD0307"/>
    <d v="2023-07-11T00:00:00"/>
    <x v="1"/>
    <s v="Furniture"/>
    <s v="Customer_6"/>
    <x v="1"/>
    <n v="1920"/>
    <n v="4"/>
    <n v="313"/>
    <n v="7680"/>
    <s v="July"/>
  </r>
  <r>
    <s v="ORD0308"/>
    <d v="2023-11-29T00:00:00"/>
    <x v="2"/>
    <s v="Jacket"/>
    <s v="Customer_42"/>
    <x v="3"/>
    <n v="1531"/>
    <n v="1"/>
    <n v="200"/>
    <n v="1531"/>
    <s v="November"/>
  </r>
  <r>
    <s v="ORD0309"/>
    <d v="2023-11-23T00:00:00"/>
    <x v="3"/>
    <s v="Nail Polish"/>
    <s v="Customer_4"/>
    <x v="1"/>
    <n v="68"/>
    <n v="2"/>
    <n v="4"/>
    <n v="136"/>
    <s v="November"/>
  </r>
  <r>
    <s v="ORD0310"/>
    <d v="2023-01-22T00:00:00"/>
    <x v="3"/>
    <s v="Perfume"/>
    <s v="Customer_34"/>
    <x v="3"/>
    <n v="498"/>
    <n v="5"/>
    <n v="72"/>
    <n v="2490"/>
    <s v="January"/>
  </r>
  <r>
    <s v="ORD0311"/>
    <d v="2023-10-16T00:00:00"/>
    <x v="0"/>
    <s v="Laptop"/>
    <s v="Customer_35"/>
    <x v="0"/>
    <n v="1333"/>
    <n v="2"/>
    <n v="314"/>
    <n v="2666"/>
    <s v="October"/>
  </r>
  <r>
    <s v="ORD0312"/>
    <d v="2023-03-15T00:00:00"/>
    <x v="1"/>
    <s v="Mixer"/>
    <s v="Customer_38"/>
    <x v="2"/>
    <n v="1516"/>
    <n v="4"/>
    <n v="357"/>
    <n v="6064"/>
    <s v="March"/>
  </r>
  <r>
    <s v="ORD0313"/>
    <d v="2023-07-19T00:00:00"/>
    <x v="1"/>
    <s v="Cookware"/>
    <s v="Customer_37"/>
    <x v="2"/>
    <n v="1370"/>
    <n v="5"/>
    <n v="159"/>
    <n v="6850"/>
    <s v="July"/>
  </r>
  <r>
    <s v="ORD0314"/>
    <d v="2023-02-20T00:00:00"/>
    <x v="2"/>
    <s v="Shirt"/>
    <s v="Customer_4"/>
    <x v="0"/>
    <n v="902"/>
    <n v="1"/>
    <n v="106"/>
    <n v="902"/>
    <s v="February"/>
  </r>
  <r>
    <s v="ORD0315"/>
    <d v="2023-05-20T00:00:00"/>
    <x v="3"/>
    <s v="Perfume"/>
    <s v="Customer_41"/>
    <x v="3"/>
    <n v="1577"/>
    <n v="4"/>
    <n v="233"/>
    <n v="6308"/>
    <s v="May"/>
  </r>
  <r>
    <s v="ORD0316"/>
    <d v="2023-04-06T00:00:00"/>
    <x v="1"/>
    <s v="Lamp"/>
    <s v="Customer_28"/>
    <x v="1"/>
    <n v="1375"/>
    <n v="4"/>
    <n v="92"/>
    <n v="5500"/>
    <s v="April"/>
  </r>
  <r>
    <s v="ORD0317"/>
    <d v="2023-05-18T00:00:00"/>
    <x v="1"/>
    <s v="Cookware"/>
    <s v="Customer_6"/>
    <x v="3"/>
    <n v="350"/>
    <n v="2"/>
    <n v="69"/>
    <n v="700"/>
    <s v="May"/>
  </r>
  <r>
    <s v="ORD0318"/>
    <d v="2023-01-03T00:00:00"/>
    <x v="1"/>
    <s v="Furniture"/>
    <s v="Customer_6"/>
    <x v="3"/>
    <n v="1888"/>
    <n v="4"/>
    <n v="230"/>
    <n v="7552"/>
    <s v="January"/>
  </r>
  <r>
    <s v="ORD0319"/>
    <d v="2023-04-06T00:00:00"/>
    <x v="1"/>
    <s v="Mixer"/>
    <s v="Customer_6"/>
    <x v="2"/>
    <n v="890"/>
    <n v="5"/>
    <n v="143"/>
    <n v="4450"/>
    <s v="April"/>
  </r>
  <r>
    <s v="ORD0320"/>
    <d v="2023-07-01T00:00:00"/>
    <x v="3"/>
    <s v="Skincare"/>
    <s v="Customer_6"/>
    <x v="3"/>
    <n v="1130"/>
    <n v="5"/>
    <n v="191"/>
    <n v="5650"/>
    <s v="July"/>
  </r>
  <r>
    <s v="ORD0321"/>
    <d v="2023-07-31T00:00:00"/>
    <x v="1"/>
    <s v="Mattress"/>
    <s v="Customer_19"/>
    <x v="3"/>
    <n v="806"/>
    <n v="1"/>
    <n v="157"/>
    <n v="806"/>
    <s v="July"/>
  </r>
  <r>
    <s v="ORD0322"/>
    <d v="2023-07-14T00:00:00"/>
    <x v="2"/>
    <s v="Dress"/>
    <s v="Customer_44"/>
    <x v="2"/>
    <n v="380"/>
    <n v="3"/>
    <n v="41"/>
    <n v="1140"/>
    <s v="July"/>
  </r>
  <r>
    <s v="ORD0323"/>
    <d v="2023-08-11T00:00:00"/>
    <x v="3"/>
    <s v="Makeup"/>
    <s v="Customer_11"/>
    <x v="3"/>
    <n v="588"/>
    <n v="3"/>
    <n v="86"/>
    <n v="1764"/>
    <s v="August"/>
  </r>
  <r>
    <s v="ORD0324"/>
    <d v="2023-11-17T00:00:00"/>
    <x v="0"/>
    <s v="Tablet"/>
    <s v="Customer_16"/>
    <x v="0"/>
    <n v="1016"/>
    <n v="5"/>
    <n v="90"/>
    <n v="5080"/>
    <s v="November"/>
  </r>
  <r>
    <s v="ORD0325"/>
    <d v="2023-07-22T00:00:00"/>
    <x v="0"/>
    <s v="Smartphone"/>
    <s v="Customer_1"/>
    <x v="0"/>
    <n v="697"/>
    <n v="5"/>
    <n v="87"/>
    <n v="3485"/>
    <s v="July"/>
  </r>
  <r>
    <s v="ORD0326"/>
    <d v="2023-11-30T00:00:00"/>
    <x v="1"/>
    <s v="Mattress"/>
    <s v="Customer_28"/>
    <x v="0"/>
    <n v="1949"/>
    <n v="2"/>
    <n v="214"/>
    <n v="3898"/>
    <s v="November"/>
  </r>
  <r>
    <s v="ORD0327"/>
    <d v="2023-07-23T00:00:00"/>
    <x v="2"/>
    <s v="Shoes"/>
    <s v="Customer_12"/>
    <x v="0"/>
    <n v="1939"/>
    <n v="3"/>
    <n v="381"/>
    <n v="5817"/>
    <s v="July"/>
  </r>
  <r>
    <s v="ORD0328"/>
    <d v="2023-07-12T00:00:00"/>
    <x v="3"/>
    <s v="Nail Polish"/>
    <s v="Customer_21"/>
    <x v="2"/>
    <n v="596"/>
    <n v="4"/>
    <n v="73"/>
    <n v="2384"/>
    <s v="July"/>
  </r>
  <r>
    <s v="ORD0329"/>
    <d v="2023-10-09T00:00:00"/>
    <x v="2"/>
    <s v="Dress"/>
    <s v="Customer_44"/>
    <x v="2"/>
    <n v="102"/>
    <n v="4"/>
    <n v="24"/>
    <n v="408"/>
    <s v="October"/>
  </r>
  <r>
    <s v="ORD0330"/>
    <d v="2023-02-05T00:00:00"/>
    <x v="2"/>
    <s v="Shoes"/>
    <s v="Customer_45"/>
    <x v="0"/>
    <n v="1646"/>
    <n v="4"/>
    <n v="304"/>
    <n v="6584"/>
    <s v="February"/>
  </r>
  <r>
    <s v="ORD0331"/>
    <d v="2023-12-04T00:00:00"/>
    <x v="2"/>
    <s v="Jacket"/>
    <s v="Customer_17"/>
    <x v="2"/>
    <n v="350"/>
    <n v="4"/>
    <n v="72"/>
    <n v="1400"/>
    <s v="December"/>
  </r>
  <r>
    <s v="ORD0332"/>
    <d v="2023-07-25T00:00:00"/>
    <x v="0"/>
    <s v="Headphones"/>
    <s v="Customer_38"/>
    <x v="1"/>
    <n v="1092"/>
    <n v="4"/>
    <n v="173"/>
    <n v="4368"/>
    <s v="July"/>
  </r>
  <r>
    <s v="ORD0333"/>
    <d v="2023-05-08T00:00:00"/>
    <x v="1"/>
    <s v="Lamp"/>
    <s v="Customer_7"/>
    <x v="3"/>
    <n v="1332"/>
    <n v="3"/>
    <n v="110"/>
    <n v="3996"/>
    <s v="May"/>
  </r>
  <r>
    <s v="ORD0334"/>
    <d v="2023-06-19T00:00:00"/>
    <x v="0"/>
    <s v="Camera"/>
    <s v="Customer_49"/>
    <x v="1"/>
    <n v="1933"/>
    <n v="4"/>
    <n v="137"/>
    <n v="7732"/>
    <s v="June"/>
  </r>
  <r>
    <s v="ORD0335"/>
    <d v="2023-09-23T00:00:00"/>
    <x v="0"/>
    <s v="Tablet"/>
    <s v="Customer_33"/>
    <x v="2"/>
    <n v="1138"/>
    <n v="5"/>
    <n v="107"/>
    <n v="5690"/>
    <s v="September"/>
  </r>
  <r>
    <s v="ORD0336"/>
    <d v="2023-12-14T00:00:00"/>
    <x v="1"/>
    <s v="Mattress"/>
    <s v="Customer_50"/>
    <x v="1"/>
    <n v="1197"/>
    <n v="5"/>
    <n v="96"/>
    <n v="5985"/>
    <s v="December"/>
  </r>
  <r>
    <s v="ORD0337"/>
    <d v="2023-08-01T00:00:00"/>
    <x v="0"/>
    <s v="Headphones"/>
    <s v="Customer_19"/>
    <x v="3"/>
    <n v="1845"/>
    <n v="1"/>
    <n v="135"/>
    <n v="1845"/>
    <s v="August"/>
  </r>
  <r>
    <s v="ORD0338"/>
    <d v="2023-08-22T00:00:00"/>
    <x v="2"/>
    <s v="Jacket"/>
    <s v="Customer_22"/>
    <x v="0"/>
    <n v="1579"/>
    <n v="5"/>
    <n v="231"/>
    <n v="7895"/>
    <s v="August"/>
  </r>
  <r>
    <s v="ORD0339"/>
    <d v="2023-12-23T00:00:00"/>
    <x v="3"/>
    <s v="Skincare"/>
    <s v="Customer_47"/>
    <x v="1"/>
    <n v="932"/>
    <n v="1"/>
    <n v="102"/>
    <n v="932"/>
    <s v="December"/>
  </r>
  <r>
    <s v="ORD0340"/>
    <d v="2023-02-25T00:00:00"/>
    <x v="0"/>
    <s v="Laptop"/>
    <s v="Customer_42"/>
    <x v="0"/>
    <n v="1370"/>
    <n v="2"/>
    <n v="323"/>
    <n v="2740"/>
    <s v="February"/>
  </r>
  <r>
    <s v="ORD0341"/>
    <d v="2023-03-23T00:00:00"/>
    <x v="2"/>
    <s v="Dress"/>
    <s v="Customer_36"/>
    <x v="2"/>
    <n v="695"/>
    <n v="4"/>
    <n v="168"/>
    <n v="2780"/>
    <s v="March"/>
  </r>
  <r>
    <s v="ORD0342"/>
    <d v="2023-11-24T00:00:00"/>
    <x v="2"/>
    <s v="Shoes"/>
    <s v="Customer_12"/>
    <x v="2"/>
    <n v="1331"/>
    <n v="4"/>
    <n v="74"/>
    <n v="5324"/>
    <s v="November"/>
  </r>
  <r>
    <s v="ORD0343"/>
    <d v="2023-01-03T00:00:00"/>
    <x v="2"/>
    <s v="Shoes"/>
    <s v="Customer_25"/>
    <x v="1"/>
    <n v="1424"/>
    <n v="2"/>
    <n v="150"/>
    <n v="2848"/>
    <s v="January"/>
  </r>
  <r>
    <s v="ORD0344"/>
    <d v="2023-04-06T00:00:00"/>
    <x v="0"/>
    <s v="Camera"/>
    <s v="Customer_35"/>
    <x v="3"/>
    <n v="763"/>
    <n v="2"/>
    <n v="108"/>
    <n v="1526"/>
    <s v="April"/>
  </r>
  <r>
    <s v="ORD0345"/>
    <d v="2023-07-18T00:00:00"/>
    <x v="1"/>
    <s v="Mattress"/>
    <s v="Customer_39"/>
    <x v="0"/>
    <n v="1242"/>
    <n v="5"/>
    <n v="90"/>
    <n v="6210"/>
    <s v="July"/>
  </r>
  <r>
    <s v="ORD0346"/>
    <d v="2023-12-28T00:00:00"/>
    <x v="1"/>
    <s v="Mattress"/>
    <s v="Customer_44"/>
    <x v="2"/>
    <n v="1611"/>
    <n v="5"/>
    <n v="270"/>
    <n v="8055"/>
    <s v="December"/>
  </r>
  <r>
    <s v="ORD0347"/>
    <d v="2023-06-06T00:00:00"/>
    <x v="2"/>
    <s v="Jacket"/>
    <s v="Customer_16"/>
    <x v="3"/>
    <n v="278"/>
    <n v="3"/>
    <n v="52"/>
    <n v="834"/>
    <s v="June"/>
  </r>
  <r>
    <s v="ORD0348"/>
    <d v="2023-07-16T00:00:00"/>
    <x v="3"/>
    <s v="Haircare"/>
    <s v="Customer_37"/>
    <x v="2"/>
    <n v="874"/>
    <n v="4"/>
    <n v="154"/>
    <n v="3496"/>
    <s v="July"/>
  </r>
  <r>
    <s v="ORD0349"/>
    <d v="2023-05-28T00:00:00"/>
    <x v="2"/>
    <s v="Dress"/>
    <s v="Customer_32"/>
    <x v="2"/>
    <n v="323"/>
    <n v="3"/>
    <n v="70"/>
    <n v="969"/>
    <s v="May"/>
  </r>
  <r>
    <s v="ORD0350"/>
    <d v="2023-03-11T00:00:00"/>
    <x v="0"/>
    <s v="Tablet"/>
    <s v="Customer_32"/>
    <x v="3"/>
    <n v="430"/>
    <n v="4"/>
    <n v="104"/>
    <n v="1720"/>
    <s v="March"/>
  </r>
  <r>
    <s v="ORD0351"/>
    <d v="2023-12-30T00:00:00"/>
    <x v="3"/>
    <s v="Haircare"/>
    <s v="Customer_27"/>
    <x v="1"/>
    <n v="1687"/>
    <n v="4"/>
    <n v="140"/>
    <n v="6748"/>
    <s v="December"/>
  </r>
  <r>
    <s v="ORD0352"/>
    <d v="2023-05-21T00:00:00"/>
    <x v="0"/>
    <s v="Smartphone"/>
    <s v="Customer_3"/>
    <x v="0"/>
    <n v="488"/>
    <n v="3"/>
    <n v="40"/>
    <n v="1464"/>
    <s v="May"/>
  </r>
  <r>
    <s v="ORD0353"/>
    <d v="2023-09-19T00:00:00"/>
    <x v="3"/>
    <s v="Nail Polish"/>
    <s v="Customer_36"/>
    <x v="1"/>
    <n v="270"/>
    <n v="1"/>
    <n v="28"/>
    <n v="270"/>
    <s v="September"/>
  </r>
  <r>
    <s v="ORD0354"/>
    <d v="2023-08-14T00:00:00"/>
    <x v="1"/>
    <s v="Lamp"/>
    <s v="Customer_49"/>
    <x v="3"/>
    <n v="1115"/>
    <n v="4"/>
    <n v="78"/>
    <n v="4460"/>
    <s v="August"/>
  </r>
  <r>
    <s v="ORD0355"/>
    <d v="2023-05-15T00:00:00"/>
    <x v="2"/>
    <s v="Jacket"/>
    <s v="Customer_29"/>
    <x v="3"/>
    <n v="729"/>
    <n v="1"/>
    <n v="100"/>
    <n v="729"/>
    <s v="May"/>
  </r>
  <r>
    <s v="ORD0356"/>
    <d v="2023-10-29T00:00:00"/>
    <x v="0"/>
    <s v="Smartphone"/>
    <s v="Customer_48"/>
    <x v="2"/>
    <n v="1393"/>
    <n v="5"/>
    <n v="246"/>
    <n v="6965"/>
    <s v="October"/>
  </r>
  <r>
    <s v="ORD0357"/>
    <d v="2023-04-16T00:00:00"/>
    <x v="2"/>
    <s v="Dress"/>
    <s v="Customer_14"/>
    <x v="2"/>
    <n v="1620"/>
    <n v="5"/>
    <n v="194"/>
    <n v="8100"/>
    <s v="April"/>
  </r>
  <r>
    <s v="ORD0358"/>
    <d v="2023-12-27T00:00:00"/>
    <x v="1"/>
    <s v="Lamp"/>
    <s v="Customer_21"/>
    <x v="2"/>
    <n v="620"/>
    <n v="5"/>
    <n v="64"/>
    <n v="3100"/>
    <s v="December"/>
  </r>
  <r>
    <s v="ORD0359"/>
    <d v="2023-05-22T00:00:00"/>
    <x v="0"/>
    <s v="Smartphone"/>
    <s v="Customer_4"/>
    <x v="1"/>
    <n v="1740"/>
    <n v="2"/>
    <n v="331"/>
    <n v="3480"/>
    <s v="May"/>
  </r>
  <r>
    <s v="ORD0360"/>
    <d v="2023-06-14T00:00:00"/>
    <x v="2"/>
    <s v="Jeans"/>
    <s v="Customer_46"/>
    <x v="2"/>
    <n v="1665"/>
    <n v="4"/>
    <n v="246"/>
    <n v="6660"/>
    <s v="June"/>
  </r>
  <r>
    <s v="ORD0361"/>
    <d v="2023-02-08T00:00:00"/>
    <x v="1"/>
    <s v="Mattress"/>
    <s v="Customer_29"/>
    <x v="1"/>
    <n v="1285"/>
    <n v="1"/>
    <n v="167"/>
    <n v="1285"/>
    <s v="February"/>
  </r>
  <r>
    <s v="ORD0362"/>
    <d v="2023-06-17T00:00:00"/>
    <x v="1"/>
    <s v="Furniture"/>
    <s v="Customer_32"/>
    <x v="1"/>
    <n v="1184"/>
    <n v="1"/>
    <n v="232"/>
    <n v="1184"/>
    <s v="June"/>
  </r>
  <r>
    <s v="ORD0363"/>
    <d v="2023-07-23T00:00:00"/>
    <x v="3"/>
    <s v="Perfume"/>
    <s v="Customer_35"/>
    <x v="3"/>
    <n v="474"/>
    <n v="4"/>
    <n v="102"/>
    <n v="1896"/>
    <s v="July"/>
  </r>
  <r>
    <s v="ORD0364"/>
    <d v="2023-06-22T00:00:00"/>
    <x v="3"/>
    <s v="Perfume"/>
    <s v="Customer_19"/>
    <x v="0"/>
    <n v="1117"/>
    <n v="2"/>
    <n v="182"/>
    <n v="2234"/>
    <s v="June"/>
  </r>
  <r>
    <s v="ORD0365"/>
    <d v="2023-02-20T00:00:00"/>
    <x v="3"/>
    <s v="Perfume"/>
    <s v="Customer_3"/>
    <x v="3"/>
    <n v="1271"/>
    <n v="4"/>
    <n v="67"/>
    <n v="5084"/>
    <s v="February"/>
  </r>
  <r>
    <s v="ORD0366"/>
    <d v="2023-08-08T00:00:00"/>
    <x v="2"/>
    <s v="Shoes"/>
    <s v="Customer_1"/>
    <x v="1"/>
    <n v="444"/>
    <n v="2"/>
    <n v="100"/>
    <n v="888"/>
    <s v="August"/>
  </r>
  <r>
    <s v="ORD0367"/>
    <d v="2023-12-02T00:00:00"/>
    <x v="1"/>
    <s v="Cookware"/>
    <s v="Customer_6"/>
    <x v="0"/>
    <n v="752"/>
    <n v="1"/>
    <n v="93"/>
    <n v="752"/>
    <s v="December"/>
  </r>
  <r>
    <s v="ORD0368"/>
    <d v="2023-06-06T00:00:00"/>
    <x v="2"/>
    <s v="Shirt"/>
    <s v="Customer_41"/>
    <x v="1"/>
    <n v="1465"/>
    <n v="2"/>
    <n v="199"/>
    <n v="2930"/>
    <s v="June"/>
  </r>
  <r>
    <s v="ORD0369"/>
    <d v="2023-09-02T00:00:00"/>
    <x v="0"/>
    <s v="Laptop"/>
    <s v="Customer_14"/>
    <x v="3"/>
    <n v="201"/>
    <n v="5"/>
    <n v="19"/>
    <n v="1005"/>
    <s v="September"/>
  </r>
  <r>
    <s v="ORD0370"/>
    <d v="2023-06-25T00:00:00"/>
    <x v="3"/>
    <s v="Skincare"/>
    <s v="Customer_45"/>
    <x v="3"/>
    <n v="1643"/>
    <n v="4"/>
    <n v="310"/>
    <n v="6572"/>
    <s v="June"/>
  </r>
  <r>
    <s v="ORD0371"/>
    <d v="2023-02-15T00:00:00"/>
    <x v="3"/>
    <s v="Skincare"/>
    <s v="Customer_25"/>
    <x v="2"/>
    <n v="1474"/>
    <n v="1"/>
    <n v="104"/>
    <n v="1474"/>
    <s v="February"/>
  </r>
  <r>
    <s v="ORD0372"/>
    <d v="2023-03-10T00:00:00"/>
    <x v="1"/>
    <s v="Furniture"/>
    <s v="Customer_25"/>
    <x v="2"/>
    <n v="1301"/>
    <n v="2"/>
    <n v="82"/>
    <n v="2602"/>
    <s v="March"/>
  </r>
  <r>
    <s v="ORD0373"/>
    <d v="2023-06-29T00:00:00"/>
    <x v="0"/>
    <s v="Camera"/>
    <s v="Customer_29"/>
    <x v="2"/>
    <n v="1458"/>
    <n v="2"/>
    <n v="341"/>
    <n v="2916"/>
    <s v="June"/>
  </r>
  <r>
    <s v="ORD0374"/>
    <d v="2023-03-13T00:00:00"/>
    <x v="3"/>
    <s v="Makeup"/>
    <s v="Customer_7"/>
    <x v="3"/>
    <n v="1517"/>
    <n v="5"/>
    <n v="297"/>
    <n v="7585"/>
    <s v="March"/>
  </r>
  <r>
    <s v="ORD0375"/>
    <d v="2023-05-07T00:00:00"/>
    <x v="1"/>
    <s v="Mattress"/>
    <s v="Customer_9"/>
    <x v="0"/>
    <n v="590"/>
    <n v="1"/>
    <n v="58"/>
    <n v="590"/>
    <s v="May"/>
  </r>
  <r>
    <s v="ORD0376"/>
    <d v="2023-09-23T00:00:00"/>
    <x v="1"/>
    <s v="Mixer"/>
    <s v="Customer_14"/>
    <x v="0"/>
    <n v="1233"/>
    <n v="2"/>
    <n v="246"/>
    <n v="2466"/>
    <s v="September"/>
  </r>
  <r>
    <s v="ORD0377"/>
    <d v="2023-07-17T00:00:00"/>
    <x v="1"/>
    <s v="Mixer"/>
    <s v="Customer_32"/>
    <x v="2"/>
    <n v="269"/>
    <n v="4"/>
    <n v="47"/>
    <n v="1076"/>
    <s v="July"/>
  </r>
  <r>
    <s v="ORD0378"/>
    <d v="2023-06-12T00:00:00"/>
    <x v="0"/>
    <s v="Camera"/>
    <s v="Customer_24"/>
    <x v="3"/>
    <n v="307"/>
    <n v="5"/>
    <n v="41"/>
    <n v="1535"/>
    <s v="June"/>
  </r>
  <r>
    <s v="ORD0379"/>
    <d v="2023-10-28T00:00:00"/>
    <x v="2"/>
    <s v="Shoes"/>
    <s v="Customer_2"/>
    <x v="3"/>
    <n v="181"/>
    <n v="3"/>
    <n v="16"/>
    <n v="543"/>
    <s v="October"/>
  </r>
  <r>
    <s v="ORD0380"/>
    <d v="2023-12-31T00:00:00"/>
    <x v="0"/>
    <s v="Headphones"/>
    <s v="Customer_41"/>
    <x v="0"/>
    <n v="1027"/>
    <n v="4"/>
    <n v="138"/>
    <n v="4108"/>
    <s v="December"/>
  </r>
  <r>
    <s v="ORD0381"/>
    <d v="2023-02-12T00:00:00"/>
    <x v="3"/>
    <s v="Skincare"/>
    <s v="Customer_18"/>
    <x v="2"/>
    <n v="654"/>
    <n v="5"/>
    <n v="153"/>
    <n v="3270"/>
    <s v="February"/>
  </r>
  <r>
    <s v="ORD0382"/>
    <d v="2023-10-28T00:00:00"/>
    <x v="2"/>
    <s v="Dress"/>
    <s v="Customer_26"/>
    <x v="0"/>
    <n v="1286"/>
    <n v="1"/>
    <n v="144"/>
    <n v="1286"/>
    <s v="October"/>
  </r>
  <r>
    <s v="ORD0383"/>
    <d v="2023-02-14T00:00:00"/>
    <x v="3"/>
    <s v="Makeup"/>
    <s v="Customer_16"/>
    <x v="3"/>
    <n v="1853"/>
    <n v="1"/>
    <n v="260"/>
    <n v="1853"/>
    <s v="February"/>
  </r>
  <r>
    <s v="ORD0384"/>
    <d v="2023-01-07T00:00:00"/>
    <x v="0"/>
    <s v="Tablet"/>
    <s v="Customer_8"/>
    <x v="2"/>
    <n v="1430"/>
    <n v="1"/>
    <n v="118"/>
    <n v="1430"/>
    <s v="January"/>
  </r>
  <r>
    <s v="ORD0385"/>
    <d v="2023-07-10T00:00:00"/>
    <x v="1"/>
    <s v="Lamp"/>
    <s v="Customer_11"/>
    <x v="0"/>
    <n v="297"/>
    <n v="3"/>
    <n v="58"/>
    <n v="891"/>
    <s v="July"/>
  </r>
  <r>
    <s v="ORD0386"/>
    <d v="2023-05-20T00:00:00"/>
    <x v="0"/>
    <s v="Laptop"/>
    <s v="Customer_28"/>
    <x v="0"/>
    <n v="1071"/>
    <n v="3"/>
    <n v="206"/>
    <n v="3213"/>
    <s v="May"/>
  </r>
  <r>
    <s v="ORD0387"/>
    <d v="2023-07-04T00:00:00"/>
    <x v="0"/>
    <s v="Headphones"/>
    <s v="Customer_33"/>
    <x v="1"/>
    <n v="158"/>
    <n v="5"/>
    <n v="13"/>
    <n v="790"/>
    <s v="July"/>
  </r>
  <r>
    <s v="ORD0388"/>
    <d v="2023-12-12T00:00:00"/>
    <x v="2"/>
    <s v="Jacket"/>
    <s v="Customer_37"/>
    <x v="3"/>
    <n v="1459"/>
    <n v="2"/>
    <n v="289"/>
    <n v="2918"/>
    <s v="December"/>
  </r>
  <r>
    <s v="ORD0389"/>
    <d v="2023-01-24T00:00:00"/>
    <x v="0"/>
    <s v="Laptop"/>
    <s v="Customer_16"/>
    <x v="3"/>
    <n v="969"/>
    <n v="4"/>
    <n v="227"/>
    <n v="3876"/>
    <s v="January"/>
  </r>
  <r>
    <s v="ORD0390"/>
    <d v="2023-06-14T00:00:00"/>
    <x v="2"/>
    <s v="Shirt"/>
    <s v="Customer_15"/>
    <x v="1"/>
    <n v="534"/>
    <n v="3"/>
    <n v="55"/>
    <n v="1602"/>
    <s v="June"/>
  </r>
  <r>
    <s v="ORD0391"/>
    <d v="2023-09-15T00:00:00"/>
    <x v="0"/>
    <s v="Camera"/>
    <s v="Customer_8"/>
    <x v="0"/>
    <n v="1362"/>
    <n v="1"/>
    <n v="117"/>
    <n v="1362"/>
    <s v="September"/>
  </r>
  <r>
    <s v="ORD0392"/>
    <d v="2023-05-25T00:00:00"/>
    <x v="0"/>
    <s v="Headphones"/>
    <s v="Customer_30"/>
    <x v="3"/>
    <n v="1558"/>
    <n v="3"/>
    <n v="179"/>
    <n v="4674"/>
    <s v="May"/>
  </r>
  <r>
    <s v="ORD0393"/>
    <d v="2023-05-30T00:00:00"/>
    <x v="3"/>
    <s v="Skincare"/>
    <s v="Customer_13"/>
    <x v="0"/>
    <n v="1149"/>
    <n v="3"/>
    <n v="227"/>
    <n v="3447"/>
    <s v="May"/>
  </r>
  <r>
    <s v="ORD0394"/>
    <d v="2023-09-10T00:00:00"/>
    <x v="2"/>
    <s v="Shoes"/>
    <s v="Customer_38"/>
    <x v="0"/>
    <n v="1995"/>
    <n v="2"/>
    <n v="392"/>
    <n v="3990"/>
    <s v="September"/>
  </r>
  <r>
    <s v="ORD0395"/>
    <d v="2023-01-13T00:00:00"/>
    <x v="2"/>
    <s v="Jeans"/>
    <s v="Customer_27"/>
    <x v="3"/>
    <n v="504"/>
    <n v="3"/>
    <n v="89"/>
    <n v="1512"/>
    <s v="January"/>
  </r>
  <r>
    <s v="ORD0396"/>
    <d v="2023-12-03T00:00:00"/>
    <x v="0"/>
    <s v="Tablet"/>
    <s v="Customer_49"/>
    <x v="3"/>
    <n v="783"/>
    <n v="3"/>
    <n v="55"/>
    <n v="2349"/>
    <s v="December"/>
  </r>
  <r>
    <s v="ORD0397"/>
    <d v="2023-03-14T00:00:00"/>
    <x v="2"/>
    <s v="Shoes"/>
    <s v="Customer_4"/>
    <x v="1"/>
    <n v="1437"/>
    <n v="1"/>
    <n v="84"/>
    <n v="1437"/>
    <s v="March"/>
  </r>
  <r>
    <s v="ORD0398"/>
    <d v="2023-07-10T00:00:00"/>
    <x v="2"/>
    <s v="Dress"/>
    <s v="Customer_45"/>
    <x v="1"/>
    <n v="943"/>
    <n v="1"/>
    <n v="156"/>
    <n v="943"/>
    <s v="July"/>
  </r>
  <r>
    <s v="ORD0399"/>
    <d v="2023-10-18T00:00:00"/>
    <x v="2"/>
    <s v="Shoes"/>
    <s v="Customer_38"/>
    <x v="3"/>
    <n v="171"/>
    <n v="2"/>
    <n v="16"/>
    <n v="342"/>
    <s v="October"/>
  </r>
  <r>
    <s v="ORD0400"/>
    <d v="2023-06-17T00:00:00"/>
    <x v="1"/>
    <s v="Furniture"/>
    <s v="Customer_45"/>
    <x v="1"/>
    <n v="670"/>
    <n v="3"/>
    <n v="64"/>
    <n v="2010"/>
    <s v="June"/>
  </r>
  <r>
    <s v="ORD0401"/>
    <d v="2023-02-24T00:00:00"/>
    <x v="2"/>
    <s v="Jeans"/>
    <s v="Customer_10"/>
    <x v="3"/>
    <n v="370"/>
    <n v="4"/>
    <n v="41"/>
    <n v="1480"/>
    <s v="February"/>
  </r>
  <r>
    <s v="ORD0402"/>
    <d v="2023-04-17T00:00:00"/>
    <x v="0"/>
    <s v="Camera"/>
    <s v="Customer_50"/>
    <x v="0"/>
    <n v="931"/>
    <n v="4"/>
    <n v="95"/>
    <n v="3724"/>
    <s v="April"/>
  </r>
  <r>
    <s v="ORD0403"/>
    <d v="2023-06-05T00:00:00"/>
    <x v="0"/>
    <s v="Laptop"/>
    <s v="Customer_44"/>
    <x v="2"/>
    <n v="1661"/>
    <n v="5"/>
    <n v="96"/>
    <n v="8305"/>
    <s v="June"/>
  </r>
  <r>
    <s v="ORD0404"/>
    <d v="2023-05-08T00:00:00"/>
    <x v="1"/>
    <s v="Cookware"/>
    <s v="Customer_46"/>
    <x v="3"/>
    <n v="1938"/>
    <n v="4"/>
    <n v="295"/>
    <n v="7752"/>
    <s v="May"/>
  </r>
  <r>
    <s v="ORD0405"/>
    <d v="2023-07-27T00:00:00"/>
    <x v="1"/>
    <s v="Furniture"/>
    <s v="Customer_2"/>
    <x v="2"/>
    <n v="1716"/>
    <n v="5"/>
    <n v="342"/>
    <n v="8580"/>
    <s v="July"/>
  </r>
  <r>
    <s v="ORD0406"/>
    <d v="2023-03-13T00:00:00"/>
    <x v="2"/>
    <s v="Shirt"/>
    <s v="Customer_7"/>
    <x v="1"/>
    <n v="286"/>
    <n v="1"/>
    <n v="61"/>
    <n v="286"/>
    <s v="March"/>
  </r>
  <r>
    <s v="ORD0407"/>
    <d v="2023-07-10T00:00:00"/>
    <x v="2"/>
    <s v="Jeans"/>
    <s v="Customer_26"/>
    <x v="2"/>
    <n v="1388"/>
    <n v="1"/>
    <n v="231"/>
    <n v="1388"/>
    <s v="July"/>
  </r>
  <r>
    <s v="ORD0408"/>
    <d v="2023-04-12T00:00:00"/>
    <x v="1"/>
    <s v="Mixer"/>
    <s v="Customer_5"/>
    <x v="3"/>
    <n v="1809"/>
    <n v="4"/>
    <n v="383"/>
    <n v="7236"/>
    <s v="April"/>
  </r>
  <r>
    <s v="ORD0409"/>
    <d v="2023-08-25T00:00:00"/>
    <x v="0"/>
    <s v="Tablet"/>
    <s v="Customer_3"/>
    <x v="3"/>
    <n v="148"/>
    <n v="5"/>
    <n v="20"/>
    <n v="740"/>
    <s v="August"/>
  </r>
  <r>
    <s v="ORD0410"/>
    <d v="2023-12-16T00:00:00"/>
    <x v="3"/>
    <s v="Haircare"/>
    <s v="Customer_25"/>
    <x v="3"/>
    <n v="881"/>
    <n v="3"/>
    <n v="81"/>
    <n v="2643"/>
    <s v="December"/>
  </r>
  <r>
    <s v="ORD0411"/>
    <d v="2023-03-18T00:00:00"/>
    <x v="2"/>
    <s v="Jacket"/>
    <s v="Customer_29"/>
    <x v="0"/>
    <n v="117"/>
    <n v="5"/>
    <n v="20"/>
    <n v="585"/>
    <s v="March"/>
  </r>
  <r>
    <s v="ORD0412"/>
    <d v="2023-09-03T00:00:00"/>
    <x v="1"/>
    <s v="Mattress"/>
    <s v="Customer_36"/>
    <x v="1"/>
    <n v="168"/>
    <n v="3"/>
    <n v="21"/>
    <n v="504"/>
    <s v="September"/>
  </r>
  <r>
    <s v="ORD0413"/>
    <d v="2023-10-06T00:00:00"/>
    <x v="3"/>
    <s v="Makeup"/>
    <s v="Customer_41"/>
    <x v="2"/>
    <n v="1599"/>
    <n v="4"/>
    <n v="330"/>
    <n v="6396"/>
    <s v="October"/>
  </r>
  <r>
    <s v="ORD0414"/>
    <d v="2023-10-17T00:00:00"/>
    <x v="1"/>
    <s v="Mattress"/>
    <s v="Customer_23"/>
    <x v="1"/>
    <n v="1029"/>
    <n v="4"/>
    <n v="107"/>
    <n v="4116"/>
    <s v="October"/>
  </r>
  <r>
    <s v="ORD0415"/>
    <d v="2023-05-24T00:00:00"/>
    <x v="0"/>
    <s v="Tablet"/>
    <s v="Customer_2"/>
    <x v="2"/>
    <n v="164"/>
    <n v="4"/>
    <n v="25"/>
    <n v="656"/>
    <s v="May"/>
  </r>
  <r>
    <s v="ORD0416"/>
    <d v="2023-12-03T00:00:00"/>
    <x v="2"/>
    <s v="Jeans"/>
    <s v="Customer_16"/>
    <x v="3"/>
    <n v="520"/>
    <n v="5"/>
    <n v="110"/>
    <n v="2600"/>
    <s v="December"/>
  </r>
  <r>
    <s v="ORD0417"/>
    <d v="2023-03-30T00:00:00"/>
    <x v="0"/>
    <s v="Smartphone"/>
    <s v="Customer_23"/>
    <x v="1"/>
    <n v="393"/>
    <n v="5"/>
    <n v="44"/>
    <n v="1965"/>
    <s v="March"/>
  </r>
  <r>
    <s v="ORD0418"/>
    <d v="2023-12-25T00:00:00"/>
    <x v="1"/>
    <s v="Lamp"/>
    <s v="Customer_46"/>
    <x v="3"/>
    <n v="735"/>
    <n v="5"/>
    <n v="119"/>
    <n v="3675"/>
    <s v="December"/>
  </r>
  <r>
    <s v="ORD0419"/>
    <d v="2023-09-09T00:00:00"/>
    <x v="2"/>
    <s v="Shoes"/>
    <s v="Customer_12"/>
    <x v="0"/>
    <n v="124"/>
    <n v="1"/>
    <n v="11"/>
    <n v="124"/>
    <s v="September"/>
  </r>
  <r>
    <s v="ORD0420"/>
    <d v="2023-06-19T00:00:00"/>
    <x v="2"/>
    <s v="Shirt"/>
    <s v="Customer_1"/>
    <x v="1"/>
    <n v="1839"/>
    <n v="2"/>
    <n v="388"/>
    <n v="3678"/>
    <s v="June"/>
  </r>
  <r>
    <s v="ORD0421"/>
    <d v="2023-01-12T00:00:00"/>
    <x v="1"/>
    <s v="Cookware"/>
    <s v="Customer_4"/>
    <x v="0"/>
    <n v="338"/>
    <n v="2"/>
    <n v="69"/>
    <n v="676"/>
    <s v="January"/>
  </r>
  <r>
    <s v="ORD0422"/>
    <d v="2023-12-06T00:00:00"/>
    <x v="1"/>
    <s v="Mixer"/>
    <s v="Customer_46"/>
    <x v="0"/>
    <n v="821"/>
    <n v="1"/>
    <n v="96"/>
    <n v="821"/>
    <s v="December"/>
  </r>
  <r>
    <s v="ORD0423"/>
    <d v="2023-08-12T00:00:00"/>
    <x v="1"/>
    <s v="Cookware"/>
    <s v="Customer_47"/>
    <x v="2"/>
    <n v="1594"/>
    <n v="4"/>
    <n v="286"/>
    <n v="6376"/>
    <s v="August"/>
  </r>
  <r>
    <s v="ORD0424"/>
    <d v="2023-12-07T00:00:00"/>
    <x v="2"/>
    <s v="Dress"/>
    <s v="Customer_15"/>
    <x v="0"/>
    <n v="1198"/>
    <n v="2"/>
    <n v="150"/>
    <n v="2396"/>
    <s v="December"/>
  </r>
  <r>
    <s v="ORD0425"/>
    <d v="2023-01-01T00:00:00"/>
    <x v="1"/>
    <s v="Cookware"/>
    <s v="Customer_47"/>
    <x v="2"/>
    <n v="1900"/>
    <n v="5"/>
    <n v="243"/>
    <n v="9500"/>
    <s v="January"/>
  </r>
  <r>
    <s v="ORD0426"/>
    <d v="2023-04-24T00:00:00"/>
    <x v="0"/>
    <s v="Smartphone"/>
    <s v="Customer_40"/>
    <x v="0"/>
    <n v="1297"/>
    <n v="1"/>
    <n v="307"/>
    <n v="1297"/>
    <s v="April"/>
  </r>
  <r>
    <s v="ORD0427"/>
    <d v="2023-06-27T00:00:00"/>
    <x v="2"/>
    <s v="Jacket"/>
    <s v="Customer_16"/>
    <x v="3"/>
    <n v="1965"/>
    <n v="2"/>
    <n v="348"/>
    <n v="3930"/>
    <s v="June"/>
  </r>
  <r>
    <s v="ORD0428"/>
    <d v="2023-05-16T00:00:00"/>
    <x v="0"/>
    <s v="Tablet"/>
    <s v="Customer_1"/>
    <x v="1"/>
    <n v="458"/>
    <n v="1"/>
    <n v="55"/>
    <n v="458"/>
    <s v="May"/>
  </r>
  <r>
    <s v="ORD0429"/>
    <d v="2023-08-13T00:00:00"/>
    <x v="0"/>
    <s v="Laptop"/>
    <s v="Customer_25"/>
    <x v="3"/>
    <n v="1478"/>
    <n v="2"/>
    <n v="335"/>
    <n v="2956"/>
    <s v="August"/>
  </r>
  <r>
    <s v="ORD0430"/>
    <d v="2023-07-12T00:00:00"/>
    <x v="3"/>
    <s v="Haircare"/>
    <s v="Customer_35"/>
    <x v="0"/>
    <n v="247"/>
    <n v="4"/>
    <n v="51"/>
    <n v="988"/>
    <s v="July"/>
  </r>
  <r>
    <s v="ORD0431"/>
    <d v="2023-01-18T00:00:00"/>
    <x v="2"/>
    <s v="Jeans"/>
    <s v="Customer_5"/>
    <x v="1"/>
    <n v="625"/>
    <n v="3"/>
    <n v="63"/>
    <n v="1875"/>
    <s v="January"/>
  </r>
  <r>
    <s v="ORD0432"/>
    <d v="2023-07-12T00:00:00"/>
    <x v="0"/>
    <s v="Laptop"/>
    <s v="Customer_11"/>
    <x v="0"/>
    <n v="363"/>
    <n v="1"/>
    <n v="57"/>
    <n v="363"/>
    <s v="July"/>
  </r>
  <r>
    <s v="ORD0433"/>
    <d v="2023-01-16T00:00:00"/>
    <x v="0"/>
    <s v="Tablet"/>
    <s v="Customer_46"/>
    <x v="1"/>
    <n v="891"/>
    <n v="2"/>
    <n v="152"/>
    <n v="1782"/>
    <s v="January"/>
  </r>
  <r>
    <s v="ORD0434"/>
    <d v="2023-06-19T00:00:00"/>
    <x v="3"/>
    <s v="Makeup"/>
    <s v="Customer_7"/>
    <x v="3"/>
    <n v="450"/>
    <n v="2"/>
    <n v="59"/>
    <n v="900"/>
    <s v="June"/>
  </r>
  <r>
    <s v="ORD0435"/>
    <d v="2023-02-19T00:00:00"/>
    <x v="1"/>
    <s v="Furniture"/>
    <s v="Customer_16"/>
    <x v="0"/>
    <n v="146"/>
    <n v="5"/>
    <n v="23"/>
    <n v="730"/>
    <s v="February"/>
  </r>
  <r>
    <s v="ORD0436"/>
    <d v="2023-01-02T00:00:00"/>
    <x v="3"/>
    <s v="Makeup"/>
    <s v="Customer_24"/>
    <x v="3"/>
    <n v="883"/>
    <n v="3"/>
    <n v="189"/>
    <n v="2649"/>
    <s v="January"/>
  </r>
  <r>
    <s v="ORD0437"/>
    <d v="2023-04-16T00:00:00"/>
    <x v="3"/>
    <s v="Makeup"/>
    <s v="Customer_2"/>
    <x v="3"/>
    <n v="383"/>
    <n v="3"/>
    <n v="94"/>
    <n v="1149"/>
    <s v="April"/>
  </r>
  <r>
    <s v="ORD0438"/>
    <d v="2023-08-30T00:00:00"/>
    <x v="3"/>
    <s v="Skincare"/>
    <s v="Customer_26"/>
    <x v="0"/>
    <n v="1003"/>
    <n v="3"/>
    <n v="68"/>
    <n v="3009"/>
    <s v="August"/>
  </r>
  <r>
    <s v="ORD0439"/>
    <d v="2023-07-09T00:00:00"/>
    <x v="3"/>
    <s v="Makeup"/>
    <s v="Customer_25"/>
    <x v="0"/>
    <n v="413"/>
    <n v="1"/>
    <n v="42"/>
    <n v="413"/>
    <s v="July"/>
  </r>
  <r>
    <s v="ORD0440"/>
    <d v="2023-10-16T00:00:00"/>
    <x v="3"/>
    <s v="Perfume"/>
    <s v="Customer_18"/>
    <x v="2"/>
    <n v="170"/>
    <n v="1"/>
    <n v="11"/>
    <n v="170"/>
    <s v="October"/>
  </r>
  <r>
    <s v="ORD0441"/>
    <d v="2023-10-29T00:00:00"/>
    <x v="1"/>
    <s v="Lamp"/>
    <s v="Customer_49"/>
    <x v="1"/>
    <n v="493"/>
    <n v="1"/>
    <n v="107"/>
    <n v="493"/>
    <s v="October"/>
  </r>
  <r>
    <s v="ORD0442"/>
    <d v="2023-05-01T00:00:00"/>
    <x v="3"/>
    <s v="Nail Polish"/>
    <s v="Customer_37"/>
    <x v="1"/>
    <n v="978"/>
    <n v="1"/>
    <n v="126"/>
    <n v="978"/>
    <s v="May"/>
  </r>
  <r>
    <s v="ORD0443"/>
    <d v="2023-08-18T00:00:00"/>
    <x v="0"/>
    <s v="Camera"/>
    <s v="Customer_8"/>
    <x v="2"/>
    <n v="387"/>
    <n v="2"/>
    <n v="94"/>
    <n v="774"/>
    <s v="August"/>
  </r>
  <r>
    <s v="ORD0444"/>
    <d v="2023-02-10T00:00:00"/>
    <x v="2"/>
    <s v="Jeans"/>
    <s v="Customer_28"/>
    <x v="3"/>
    <n v="1977"/>
    <n v="4"/>
    <n v="178"/>
    <n v="7908"/>
    <s v="February"/>
  </r>
  <r>
    <s v="ORD0445"/>
    <d v="2023-02-04T00:00:00"/>
    <x v="2"/>
    <s v="Dress"/>
    <s v="Customer_21"/>
    <x v="0"/>
    <n v="219"/>
    <n v="5"/>
    <n v="28"/>
    <n v="1095"/>
    <s v="February"/>
  </r>
  <r>
    <s v="ORD0446"/>
    <d v="2023-12-25T00:00:00"/>
    <x v="1"/>
    <s v="Furniture"/>
    <s v="Customer_1"/>
    <x v="1"/>
    <n v="1264"/>
    <n v="5"/>
    <n v="261"/>
    <n v="6320"/>
    <s v="December"/>
  </r>
  <r>
    <s v="ORD0447"/>
    <d v="2023-10-18T00:00:00"/>
    <x v="0"/>
    <s v="Headphones"/>
    <s v="Customer_10"/>
    <x v="2"/>
    <n v="1196"/>
    <n v="1"/>
    <n v="281"/>
    <n v="1196"/>
    <s v="October"/>
  </r>
  <r>
    <s v="ORD0448"/>
    <d v="2023-05-16T00:00:00"/>
    <x v="0"/>
    <s v="Tablet"/>
    <s v="Customer_27"/>
    <x v="0"/>
    <n v="796"/>
    <n v="4"/>
    <n v="131"/>
    <n v="3184"/>
    <s v="May"/>
  </r>
  <r>
    <s v="ORD0449"/>
    <d v="2023-07-26T00:00:00"/>
    <x v="3"/>
    <s v="Skincare"/>
    <s v="Customer_18"/>
    <x v="2"/>
    <n v="330"/>
    <n v="5"/>
    <n v="61"/>
    <n v="1650"/>
    <s v="July"/>
  </r>
  <r>
    <s v="ORD0450"/>
    <d v="2023-12-20T00:00:00"/>
    <x v="3"/>
    <s v="Skincare"/>
    <s v="Customer_22"/>
    <x v="1"/>
    <n v="513"/>
    <n v="4"/>
    <n v="120"/>
    <n v="2052"/>
    <s v="December"/>
  </r>
  <r>
    <s v="ORD0451"/>
    <d v="2023-06-09T00:00:00"/>
    <x v="1"/>
    <s v="Mixer"/>
    <s v="Customer_20"/>
    <x v="0"/>
    <n v="596"/>
    <n v="4"/>
    <n v="132"/>
    <n v="2384"/>
    <s v="June"/>
  </r>
  <r>
    <s v="ORD0452"/>
    <d v="2023-08-15T00:00:00"/>
    <x v="0"/>
    <s v="Smartphone"/>
    <s v="Customer_20"/>
    <x v="2"/>
    <n v="1559"/>
    <n v="3"/>
    <n v="161"/>
    <n v="4677"/>
    <s v="August"/>
  </r>
  <r>
    <s v="ORD0453"/>
    <d v="2023-08-15T00:00:00"/>
    <x v="3"/>
    <s v="Nail Polish"/>
    <s v="Customer_13"/>
    <x v="3"/>
    <n v="462"/>
    <n v="4"/>
    <n v="91"/>
    <n v="1848"/>
    <s v="August"/>
  </r>
  <r>
    <s v="ORD0454"/>
    <d v="2023-06-09T00:00:00"/>
    <x v="1"/>
    <s v="Mixer"/>
    <s v="Customer_5"/>
    <x v="2"/>
    <n v="1433"/>
    <n v="4"/>
    <n v="110"/>
    <n v="5732"/>
    <s v="June"/>
  </r>
  <r>
    <s v="ORD0455"/>
    <d v="2023-01-30T00:00:00"/>
    <x v="0"/>
    <s v="Smartphone"/>
    <s v="Customer_13"/>
    <x v="2"/>
    <n v="536"/>
    <n v="4"/>
    <n v="32"/>
    <n v="2144"/>
    <s v="January"/>
  </r>
  <r>
    <s v="ORD0456"/>
    <d v="2023-08-26T00:00:00"/>
    <x v="1"/>
    <s v="Cookware"/>
    <s v="Customer_24"/>
    <x v="0"/>
    <n v="1035"/>
    <n v="1"/>
    <n v="192"/>
    <n v="1035"/>
    <s v="August"/>
  </r>
  <r>
    <s v="ORD0457"/>
    <d v="2023-08-17T00:00:00"/>
    <x v="2"/>
    <s v="Jacket"/>
    <s v="Customer_39"/>
    <x v="1"/>
    <n v="396"/>
    <n v="4"/>
    <n v="66"/>
    <n v="1584"/>
    <s v="August"/>
  </r>
  <r>
    <s v="ORD0458"/>
    <d v="2023-12-19T00:00:00"/>
    <x v="1"/>
    <s v="Furniture"/>
    <s v="Customer_17"/>
    <x v="2"/>
    <n v="226"/>
    <n v="1"/>
    <n v="28"/>
    <n v="226"/>
    <s v="December"/>
  </r>
  <r>
    <s v="ORD0459"/>
    <d v="2023-11-28T00:00:00"/>
    <x v="2"/>
    <s v="Dress"/>
    <s v="Customer_15"/>
    <x v="2"/>
    <n v="488"/>
    <n v="2"/>
    <n v="50"/>
    <n v="976"/>
    <s v="November"/>
  </r>
  <r>
    <s v="ORD0460"/>
    <d v="2023-12-16T00:00:00"/>
    <x v="3"/>
    <s v="Nail Polish"/>
    <s v="Customer_50"/>
    <x v="3"/>
    <n v="67"/>
    <n v="2"/>
    <n v="12"/>
    <n v="134"/>
    <s v="December"/>
  </r>
  <r>
    <s v="ORD0461"/>
    <d v="2023-06-06T00:00:00"/>
    <x v="0"/>
    <s v="Smartphone"/>
    <s v="Customer_39"/>
    <x v="0"/>
    <n v="1439"/>
    <n v="3"/>
    <n v="194"/>
    <n v="4317"/>
    <s v="June"/>
  </r>
  <r>
    <s v="ORD0462"/>
    <d v="2023-04-22T00:00:00"/>
    <x v="3"/>
    <s v="Perfume"/>
    <s v="Customer_17"/>
    <x v="1"/>
    <n v="960"/>
    <n v="5"/>
    <n v="206"/>
    <n v="4800"/>
    <s v="April"/>
  </r>
  <r>
    <s v="ORD0463"/>
    <d v="2023-09-19T00:00:00"/>
    <x v="3"/>
    <s v="Nail Polish"/>
    <s v="Customer_1"/>
    <x v="3"/>
    <n v="1998"/>
    <n v="3"/>
    <n v="324"/>
    <n v="5994"/>
    <s v="September"/>
  </r>
  <r>
    <s v="ORD0464"/>
    <d v="2023-02-02T00:00:00"/>
    <x v="1"/>
    <s v="Furniture"/>
    <s v="Customer_31"/>
    <x v="3"/>
    <n v="705"/>
    <n v="3"/>
    <n v="125"/>
    <n v="2115"/>
    <s v="February"/>
  </r>
  <r>
    <s v="ORD0465"/>
    <d v="2023-03-18T00:00:00"/>
    <x v="1"/>
    <s v="Furniture"/>
    <s v="Customer_13"/>
    <x v="0"/>
    <n v="1058"/>
    <n v="2"/>
    <n v="243"/>
    <n v="2116"/>
    <s v="March"/>
  </r>
  <r>
    <s v="ORD0466"/>
    <d v="2023-01-14T00:00:00"/>
    <x v="3"/>
    <s v="Perfume"/>
    <s v="Customer_47"/>
    <x v="2"/>
    <n v="1328"/>
    <n v="3"/>
    <n v="135"/>
    <n v="3984"/>
    <s v="January"/>
  </r>
  <r>
    <s v="ORD0467"/>
    <d v="2023-01-19T00:00:00"/>
    <x v="3"/>
    <s v="Haircare"/>
    <s v="Customer_48"/>
    <x v="1"/>
    <n v="1186"/>
    <n v="5"/>
    <n v="253"/>
    <n v="5930"/>
    <s v="January"/>
  </r>
  <r>
    <s v="ORD0468"/>
    <d v="2023-07-03T00:00:00"/>
    <x v="1"/>
    <s v="Cookware"/>
    <s v="Customer_43"/>
    <x v="1"/>
    <n v="1039"/>
    <n v="2"/>
    <n v="226"/>
    <n v="2078"/>
    <s v="July"/>
  </r>
  <r>
    <s v="ORD0469"/>
    <d v="2023-03-07T00:00:00"/>
    <x v="2"/>
    <s v="Jacket"/>
    <s v="Customer_31"/>
    <x v="3"/>
    <n v="1494"/>
    <n v="5"/>
    <n v="302"/>
    <n v="7470"/>
    <s v="March"/>
  </r>
  <r>
    <s v="ORD0470"/>
    <d v="2023-07-01T00:00:00"/>
    <x v="2"/>
    <s v="Jacket"/>
    <s v="Customer_15"/>
    <x v="3"/>
    <n v="485"/>
    <n v="3"/>
    <n v="65"/>
    <n v="1455"/>
    <s v="July"/>
  </r>
  <r>
    <s v="ORD0471"/>
    <d v="2023-05-31T00:00:00"/>
    <x v="1"/>
    <s v="Furniture"/>
    <s v="Customer_38"/>
    <x v="0"/>
    <n v="954"/>
    <n v="1"/>
    <n v="137"/>
    <n v="954"/>
    <s v="May"/>
  </r>
  <r>
    <s v="ORD0472"/>
    <d v="2023-03-03T00:00:00"/>
    <x v="0"/>
    <s v="Headphones"/>
    <s v="Customer_33"/>
    <x v="2"/>
    <n v="1741"/>
    <n v="4"/>
    <n v="271"/>
    <n v="6964"/>
    <s v="March"/>
  </r>
  <r>
    <s v="ORD0473"/>
    <d v="2023-04-13T00:00:00"/>
    <x v="3"/>
    <s v="Skincare"/>
    <s v="Customer_9"/>
    <x v="2"/>
    <n v="718"/>
    <n v="5"/>
    <n v="164"/>
    <n v="3590"/>
    <s v="April"/>
  </r>
  <r>
    <s v="ORD0474"/>
    <d v="2023-04-03T00:00:00"/>
    <x v="3"/>
    <s v="Makeup"/>
    <s v="Customer_46"/>
    <x v="0"/>
    <n v="1568"/>
    <n v="4"/>
    <n v="182"/>
    <n v="6272"/>
    <s v="April"/>
  </r>
  <r>
    <s v="ORD0475"/>
    <d v="2023-08-20T00:00:00"/>
    <x v="2"/>
    <s v="Jacket"/>
    <s v="Customer_1"/>
    <x v="3"/>
    <n v="583"/>
    <n v="2"/>
    <n v="96"/>
    <n v="1166"/>
    <s v="August"/>
  </r>
  <r>
    <s v="ORD0476"/>
    <d v="2023-11-11T00:00:00"/>
    <x v="2"/>
    <s v="Shoes"/>
    <s v="Customer_9"/>
    <x v="3"/>
    <n v="895"/>
    <n v="4"/>
    <n v="117"/>
    <n v="3580"/>
    <s v="November"/>
  </r>
  <r>
    <s v="ORD0477"/>
    <d v="2023-10-01T00:00:00"/>
    <x v="3"/>
    <s v="Haircare"/>
    <s v="Customer_3"/>
    <x v="3"/>
    <n v="438"/>
    <n v="3"/>
    <n v="105"/>
    <n v="1314"/>
    <s v="October"/>
  </r>
  <r>
    <s v="ORD0478"/>
    <d v="2023-12-13T00:00:00"/>
    <x v="1"/>
    <s v="Lamp"/>
    <s v="Customer_2"/>
    <x v="2"/>
    <n v="58"/>
    <n v="2"/>
    <n v="5"/>
    <n v="116"/>
    <s v="December"/>
  </r>
  <r>
    <s v="ORD0479"/>
    <d v="2023-07-16T00:00:00"/>
    <x v="1"/>
    <s v="Furniture"/>
    <s v="Customer_7"/>
    <x v="2"/>
    <n v="1031"/>
    <n v="3"/>
    <n v="86"/>
    <n v="3093"/>
    <s v="July"/>
  </r>
  <r>
    <s v="ORD0480"/>
    <d v="2023-09-24T00:00:00"/>
    <x v="0"/>
    <s v="Tablet"/>
    <s v="Customer_30"/>
    <x v="0"/>
    <n v="1212"/>
    <n v="3"/>
    <n v="165"/>
    <n v="3636"/>
    <s v="September"/>
  </r>
  <r>
    <s v="ORD0481"/>
    <d v="2023-04-07T00:00:00"/>
    <x v="2"/>
    <s v="Jacket"/>
    <s v="Customer_23"/>
    <x v="1"/>
    <n v="371"/>
    <n v="4"/>
    <n v="20"/>
    <n v="1484"/>
    <s v="April"/>
  </r>
  <r>
    <s v="ORD0482"/>
    <d v="2023-01-12T00:00:00"/>
    <x v="2"/>
    <s v="Jeans"/>
    <s v="Customer_47"/>
    <x v="2"/>
    <n v="1199"/>
    <n v="2"/>
    <n v="89"/>
    <n v="2398"/>
    <s v="January"/>
  </r>
  <r>
    <s v="ORD0483"/>
    <d v="2023-10-01T00:00:00"/>
    <x v="0"/>
    <s v="Headphones"/>
    <s v="Customer_50"/>
    <x v="0"/>
    <n v="1265"/>
    <n v="5"/>
    <n v="314"/>
    <n v="6325"/>
    <s v="October"/>
  </r>
  <r>
    <s v="ORD0484"/>
    <d v="2023-03-01T00:00:00"/>
    <x v="0"/>
    <s v="Laptop"/>
    <s v="Customer_45"/>
    <x v="3"/>
    <n v="862"/>
    <n v="4"/>
    <n v="64"/>
    <n v="3448"/>
    <s v="March"/>
  </r>
  <r>
    <s v="ORD0485"/>
    <d v="2023-12-22T00:00:00"/>
    <x v="1"/>
    <s v="Mattress"/>
    <s v="Customer_14"/>
    <x v="2"/>
    <n v="1387"/>
    <n v="1"/>
    <n v="152"/>
    <n v="1387"/>
    <s v="December"/>
  </r>
  <r>
    <s v="ORD0486"/>
    <d v="2023-11-07T00:00:00"/>
    <x v="0"/>
    <s v="Camera"/>
    <s v="Customer_40"/>
    <x v="0"/>
    <n v="1416"/>
    <n v="4"/>
    <n v="306"/>
    <n v="5664"/>
    <s v="November"/>
  </r>
  <r>
    <s v="ORD0487"/>
    <d v="2023-02-28T00:00:00"/>
    <x v="0"/>
    <s v="Camera"/>
    <s v="Customer_19"/>
    <x v="3"/>
    <n v="1580"/>
    <n v="4"/>
    <n v="141"/>
    <n v="6320"/>
    <s v="February"/>
  </r>
  <r>
    <s v="ORD0488"/>
    <d v="2023-12-27T00:00:00"/>
    <x v="2"/>
    <s v="Jacket"/>
    <s v="Customer_23"/>
    <x v="2"/>
    <n v="849"/>
    <n v="2"/>
    <n v="49"/>
    <n v="1698"/>
    <s v="December"/>
  </r>
  <r>
    <s v="ORD0489"/>
    <d v="2023-05-01T00:00:00"/>
    <x v="3"/>
    <s v="Makeup"/>
    <s v="Customer_22"/>
    <x v="1"/>
    <n v="55"/>
    <n v="1"/>
    <n v="12"/>
    <n v="55"/>
    <s v="May"/>
  </r>
  <r>
    <s v="ORD0490"/>
    <d v="2023-09-19T00:00:00"/>
    <x v="3"/>
    <s v="Makeup"/>
    <s v="Customer_50"/>
    <x v="3"/>
    <n v="196"/>
    <n v="1"/>
    <n v="45"/>
    <n v="196"/>
    <s v="September"/>
  </r>
  <r>
    <s v="ORD0491"/>
    <d v="2023-08-26T00:00:00"/>
    <x v="2"/>
    <s v="Shoes"/>
    <s v="Customer_17"/>
    <x v="0"/>
    <n v="147"/>
    <n v="2"/>
    <n v="33"/>
    <n v="294"/>
    <s v="August"/>
  </r>
  <r>
    <s v="ORD0492"/>
    <d v="2023-03-01T00:00:00"/>
    <x v="1"/>
    <s v="Furniture"/>
    <s v="Customer_28"/>
    <x v="0"/>
    <n v="235"/>
    <n v="1"/>
    <n v="12"/>
    <n v="235"/>
    <s v="March"/>
  </r>
  <r>
    <s v="ORD0493"/>
    <d v="2023-08-13T00:00:00"/>
    <x v="2"/>
    <s v="Jeans"/>
    <s v="Customer_23"/>
    <x v="0"/>
    <n v="1912"/>
    <n v="3"/>
    <n v="431"/>
    <n v="5736"/>
    <s v="August"/>
  </r>
  <r>
    <s v="ORD0494"/>
    <d v="2023-02-28T00:00:00"/>
    <x v="0"/>
    <s v="Tablet"/>
    <s v="Customer_12"/>
    <x v="0"/>
    <n v="831"/>
    <n v="4"/>
    <n v="86"/>
    <n v="3324"/>
    <s v="February"/>
  </r>
  <r>
    <s v="ORD0495"/>
    <d v="2023-03-27T00:00:00"/>
    <x v="3"/>
    <s v="Haircare"/>
    <s v="Customer_42"/>
    <x v="1"/>
    <n v="270"/>
    <n v="1"/>
    <n v="66"/>
    <n v="270"/>
    <s v="March"/>
  </r>
  <r>
    <s v="ORD0496"/>
    <d v="2023-09-05T00:00:00"/>
    <x v="2"/>
    <s v="Shirt"/>
    <s v="Customer_38"/>
    <x v="1"/>
    <n v="1614"/>
    <n v="4"/>
    <n v="139"/>
    <n v="6456"/>
    <s v="September"/>
  </r>
  <r>
    <s v="ORD0497"/>
    <d v="2023-03-08T00:00:00"/>
    <x v="3"/>
    <s v="Perfume"/>
    <s v="Customer_44"/>
    <x v="3"/>
    <n v="992"/>
    <n v="4"/>
    <n v="72"/>
    <n v="3968"/>
    <s v="March"/>
  </r>
  <r>
    <s v="ORD0498"/>
    <d v="2023-05-14T00:00:00"/>
    <x v="3"/>
    <s v="Haircare"/>
    <s v="Customer_5"/>
    <x v="3"/>
    <n v="1327"/>
    <n v="1"/>
    <n v="253"/>
    <n v="1327"/>
    <s v="May"/>
  </r>
  <r>
    <s v="ORD0499"/>
    <d v="2023-12-05T00:00:00"/>
    <x v="2"/>
    <s v="Jacket"/>
    <s v="Customer_28"/>
    <x v="3"/>
    <n v="1466"/>
    <n v="4"/>
    <n v="174"/>
    <n v="5864"/>
    <s v="December"/>
  </r>
  <r>
    <s v="ORD0500"/>
    <d v="2023-11-26T00:00:00"/>
    <x v="3"/>
    <s v="Makeup"/>
    <s v="Customer_1"/>
    <x v="3"/>
    <n v="1872"/>
    <n v="5"/>
    <n v="411"/>
    <n v="9360"/>
    <s v="Nov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F16:K22" firstHeaderRow="1" firstDataRow="2" firstDataCol="1"/>
  <pivotFields count="11">
    <pivotField showAll="0"/>
    <pivotField numFmtId="14" showAll="0"/>
    <pivotField axis="axisCol" showAll="0">
      <items count="5">
        <item x="3"/>
        <item x="2"/>
        <item x="0"/>
        <item x="1"/>
        <item t="default"/>
      </items>
    </pivotField>
    <pivotField showAll="0"/>
    <pivotField showAll="0"/>
    <pivotField axis="axisRow" showAll="0">
      <items count="5">
        <item x="0"/>
        <item x="3"/>
        <item x="2"/>
        <item x="1"/>
        <item t="default"/>
      </items>
    </pivotField>
    <pivotField dataField="1" showAll="0"/>
    <pivotField showAll="0"/>
    <pivotField showAll="0"/>
    <pivotField showAll="0"/>
    <pivotField showAll="0"/>
  </pivotFields>
  <rowFields count="1">
    <field x="5"/>
  </rowFields>
  <rowItems count="5">
    <i>
      <x/>
    </i>
    <i>
      <x v="1"/>
    </i>
    <i>
      <x v="2"/>
    </i>
    <i>
      <x v="3"/>
    </i>
    <i t="grand">
      <x/>
    </i>
  </rowItems>
  <colFields count="1">
    <field x="2"/>
  </colFields>
  <colItems count="5">
    <i>
      <x/>
    </i>
    <i>
      <x v="1"/>
    </i>
    <i>
      <x v="2"/>
    </i>
    <i>
      <x v="3"/>
    </i>
    <i t="grand">
      <x/>
    </i>
  </colItems>
  <dataFields count="1">
    <dataField name="Sum of Sales" fld="6" baseField="0" baseItem="0"/>
  </dataFields>
  <chartFormats count="4">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2"/>
          </reference>
        </references>
      </pivotArea>
    </chartFormat>
    <chartFormat chart="2"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I6:I7" firstHeaderRow="1" firstDataRow="1" firstDataCol="0" rowPageCount="1" colPageCount="1"/>
  <pivotFields count="2">
    <pivotField axis="axisPage" showAll="0">
      <items count="5">
        <item x="2"/>
        <item x="1"/>
        <item x="0"/>
        <item x="3"/>
        <item t="default"/>
      </items>
    </pivotField>
    <pivotField dataField="1" showAll="0"/>
  </pivotFields>
  <rowItems count="1">
    <i/>
  </rowItems>
  <colItems count="1">
    <i/>
  </colItems>
  <pageFields count="1">
    <pageField fld="0" hier="-1"/>
  </pageFields>
  <dataFields count="1">
    <dataField name="Sum of total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3"/>
  </pivotTables>
  <data>
    <tabular pivotCacheId="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F0"/>
  </sheetPr>
  <dimension ref="A1"/>
  <sheetViews>
    <sheetView showGridLines="0" topLeftCell="A22" workbookViewId="0">
      <selection activeCell="K45" sqref="K45"/>
    </sheetView>
  </sheetViews>
  <sheetFormatPr defaultColWidth="9.109375" defaultRowHeight="14.4" x14ac:dyDescent="0.3"/>
  <cols>
    <col min="1" max="21" width="9.109375" style="2"/>
    <col min="22" max="22" width="8.44140625" style="2" customWidth="1"/>
    <col min="23" max="16384" width="9.109375" style="2"/>
  </cols>
  <sheetData/>
  <sheetProtection algorithmName="SHA-512" hashValue="hcWFU3Lc42E/5xUx3lAkYh6oGvjkD42AZIwfGVLkSIcuG7gOZZai6joYF3vzvfR0SvAomPFTqVFhH3ZIYkXx8w==" saltValue="RM5jdAXv3iOj5sp++rhSr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L22"/>
  <sheetViews>
    <sheetView zoomScaleNormal="100" workbookViewId="0">
      <selection activeCell="J26" sqref="J26"/>
    </sheetView>
  </sheetViews>
  <sheetFormatPr defaultRowHeight="14.4" x14ac:dyDescent="0.3"/>
  <cols>
    <col min="1" max="1" width="12.88671875" customWidth="1"/>
    <col min="2" max="2" width="13.109375" customWidth="1"/>
    <col min="3" max="3" width="14.33203125" customWidth="1"/>
    <col min="6" max="6" width="12.5546875" customWidth="1"/>
    <col min="7" max="7" width="15.5546875" customWidth="1"/>
    <col min="8" max="8" width="8" customWidth="1"/>
    <col min="9" max="9" width="10.109375" customWidth="1"/>
    <col min="10" max="10" width="14.77734375" customWidth="1"/>
    <col min="11" max="11" width="10.88671875" customWidth="1"/>
    <col min="12" max="13" width="7" customWidth="1"/>
    <col min="14" max="14" width="10.88671875" bestFit="1" customWidth="1"/>
  </cols>
  <sheetData>
    <row r="1" spans="1:12" x14ac:dyDescent="0.3">
      <c r="A1" s="10" t="s">
        <v>600</v>
      </c>
      <c r="B1" s="6" t="s">
        <v>601</v>
      </c>
      <c r="C1" s="6" t="s">
        <v>602</v>
      </c>
      <c r="F1" s="8" t="s">
        <v>2</v>
      </c>
      <c r="G1" s="10" t="s">
        <v>608</v>
      </c>
      <c r="L1" t="str">
        <f>INDEX(F2:F5,F7)</f>
        <v>Clothing</v>
      </c>
    </row>
    <row r="2" spans="1:12" x14ac:dyDescent="0.3">
      <c r="A2" s="9" t="s">
        <v>589</v>
      </c>
      <c r="B2" s="9">
        <f>SUMIFS(Data!$J$1:$J$501,Data!$K$1:$K$501,'working sheet'!A2,Data!$C$1:$C$501,'working sheet'!$L$1)</f>
        <v>23166</v>
      </c>
      <c r="C2" s="9">
        <f>SUMIFS(Data!$I$1:$I$501,Data!$K$1:$K$501,'working sheet'!A2,Data!$C$1:$C$501,'working sheet'!$L$1)</f>
        <v>947</v>
      </c>
      <c r="F2" s="9" t="s">
        <v>509</v>
      </c>
      <c r="G2" s="9"/>
    </row>
    <row r="3" spans="1:12" x14ac:dyDescent="0.3">
      <c r="A3" s="9" t="s">
        <v>592</v>
      </c>
      <c r="B3" s="9">
        <f>SUMIFS(Data!$J$1:$J$501,Data!$K$1:$K$501,'working sheet'!A3,Data!$C$1:$C$501,'working sheet'!$L$1)</f>
        <v>24141</v>
      </c>
      <c r="C3" s="9">
        <f>SUMIFS(Data!$I$1:$I$501,Data!$K$1:$K$501,'working sheet'!A3,Data!$C$1:$C$501,'working sheet'!$L$1)</f>
        <v>928</v>
      </c>
      <c r="F3" s="9" t="s">
        <v>510</v>
      </c>
      <c r="G3" s="9"/>
    </row>
    <row r="4" spans="1:12" x14ac:dyDescent="0.3">
      <c r="A4" s="9" t="s">
        <v>598</v>
      </c>
      <c r="B4" s="9">
        <f>SUMIFS(Data!$J$1:$J$501,Data!$K$1:$K$501,'working sheet'!A4,Data!$C$1:$C$501,'working sheet'!$L$1)</f>
        <v>28769</v>
      </c>
      <c r="C4" s="9">
        <f>SUMIFS(Data!$I$1:$I$501,Data!$K$1:$K$501,'working sheet'!A4,Data!$C$1:$C$501,'working sheet'!$L$1)</f>
        <v>1279</v>
      </c>
      <c r="F4" s="9" t="s">
        <v>511</v>
      </c>
      <c r="G4" s="9"/>
      <c r="I4" s="11" t="s">
        <v>603</v>
      </c>
      <c r="J4" t="s">
        <v>610</v>
      </c>
    </row>
    <row r="5" spans="1:12" x14ac:dyDescent="0.3">
      <c r="A5" s="9" t="s">
        <v>588</v>
      </c>
      <c r="B5" s="9">
        <f>SUMIFS(Data!$J$1:$J$501,Data!$K$1:$K$501,'working sheet'!A5,Data!$C$1:$C$501,'working sheet'!$L$1)</f>
        <v>37235</v>
      </c>
      <c r="C5" s="9">
        <f>SUMIFS(Data!$I$1:$I$501,Data!$K$1:$K$501,'working sheet'!A5,Data!$C$1:$C$501,'working sheet'!$L$1)</f>
        <v>2082</v>
      </c>
      <c r="F5" s="9" t="s">
        <v>512</v>
      </c>
      <c r="G5" s="9"/>
    </row>
    <row r="6" spans="1:12" x14ac:dyDescent="0.3">
      <c r="A6" s="9" t="s">
        <v>593</v>
      </c>
      <c r="B6" s="9">
        <f>SUMIFS(Data!$J$1:$J$501,Data!$K$1:$K$501,'working sheet'!A6,Data!$C$1:$C$501,'working sheet'!$L$1)</f>
        <v>23911</v>
      </c>
      <c r="C6" s="9">
        <f>SUMIFS(Data!$I$1:$I$501,Data!$K$1:$K$501,'working sheet'!A6,Data!$C$1:$C$501,'working sheet'!$L$1)</f>
        <v>976</v>
      </c>
      <c r="I6" t="s">
        <v>609</v>
      </c>
    </row>
    <row r="7" spans="1:12" x14ac:dyDescent="0.3">
      <c r="A7" s="9" t="s">
        <v>595</v>
      </c>
      <c r="B7" s="9">
        <f>SUMIFS(Data!$J$1:$J$501,Data!$K$1:$K$501,'working sheet'!A7,Data!$C$1:$C$501,'working sheet'!$L$1)</f>
        <v>40100</v>
      </c>
      <c r="C7" s="9">
        <f>SUMIFS(Data!$I$1:$I$501,Data!$K$1:$K$501,'working sheet'!A7,Data!$C$1:$C$501,'working sheet'!$L$1)</f>
        <v>1930</v>
      </c>
      <c r="F7">
        <v>3</v>
      </c>
      <c r="I7" s="13">
        <v>429659</v>
      </c>
    </row>
    <row r="8" spans="1:12" x14ac:dyDescent="0.3">
      <c r="A8" s="9" t="s">
        <v>596</v>
      </c>
      <c r="B8" s="9">
        <f>SUMIFS(Data!$J$1:$J$501,Data!$K$1:$K$501,'working sheet'!A8,Data!$C$1:$C$501,'working sheet'!$L$1)</f>
        <v>18858</v>
      </c>
      <c r="C8" s="9">
        <f>SUMIFS(Data!$I$1:$I$501,Data!$K$1:$K$501,'working sheet'!A8,Data!$C$1:$C$501,'working sheet'!$L$1)</f>
        <v>1390</v>
      </c>
    </row>
    <row r="9" spans="1:12" x14ac:dyDescent="0.3">
      <c r="A9" s="9" t="s">
        <v>591</v>
      </c>
      <c r="B9" s="9">
        <f>SUMIFS(Data!$J$1:$J$501,Data!$K$1:$K$501,'working sheet'!A9,Data!$C$1:$C$501,'working sheet'!$L$1)</f>
        <v>49519</v>
      </c>
      <c r="C9" s="9">
        <f>SUMIFS(Data!$I$1:$I$501,Data!$K$1:$K$501,'working sheet'!A9,Data!$C$1:$C$501,'working sheet'!$L$1)</f>
        <v>2211</v>
      </c>
    </row>
    <row r="10" spans="1:12" x14ac:dyDescent="0.3">
      <c r="A10" s="9" t="s">
        <v>599</v>
      </c>
      <c r="B10" s="9">
        <f>SUMIFS(Data!$J$1:$J$501,Data!$K$1:$K$501,'working sheet'!A10,Data!$C$1:$C$501,'working sheet'!$L$1)</f>
        <v>23753</v>
      </c>
      <c r="C10" s="9">
        <f>SUMIFS(Data!$I$1:$I$501,Data!$K$1:$K$501,'working sheet'!A10,Data!$C$1:$C$501,'working sheet'!$L$1)</f>
        <v>1134</v>
      </c>
    </row>
    <row r="11" spans="1:12" x14ac:dyDescent="0.3">
      <c r="A11" s="9" t="s">
        <v>597</v>
      </c>
      <c r="B11" s="9">
        <f>SUMIFS(Data!$J$1:$J$501,Data!$K$1:$K$501,'working sheet'!A11,Data!$C$1:$C$501,'working sheet'!$L$1)</f>
        <v>22107</v>
      </c>
      <c r="C11" s="9">
        <f>SUMIFS(Data!$I$1:$I$501,Data!$K$1:$K$501,'working sheet'!A11,Data!$C$1:$C$501,'working sheet'!$L$1)</f>
        <v>1435</v>
      </c>
    </row>
    <row r="12" spans="1:12" x14ac:dyDescent="0.3">
      <c r="A12" s="9" t="s">
        <v>590</v>
      </c>
      <c r="B12" s="9">
        <f>SUMIFS(Data!$J$1:$J$501,Data!$K$1:$K$501,'working sheet'!A12,Data!$C$1:$C$501,'working sheet'!$L$1)</f>
        <v>15398</v>
      </c>
      <c r="C12" s="9">
        <f>SUMIFS(Data!$I$1:$I$501,Data!$K$1:$K$501,'working sheet'!A12,Data!$C$1:$C$501,'working sheet'!$L$1)</f>
        <v>605</v>
      </c>
    </row>
    <row r="13" spans="1:12" x14ac:dyDescent="0.3">
      <c r="A13" s="9" t="s">
        <v>594</v>
      </c>
      <c r="B13" s="9">
        <f>SUMIFS(Data!$J$1:$J$501,Data!$K$1:$K$501,'working sheet'!A13,Data!$C$1:$C$501,'working sheet'!$L$1)</f>
        <v>35158</v>
      </c>
      <c r="C13" s="9">
        <f>SUMIFS(Data!$I$1:$I$501,Data!$K$1:$K$501,'working sheet'!A13,Data!$C$1:$C$501,'working sheet'!$L$1)</f>
        <v>1726</v>
      </c>
    </row>
    <row r="15" spans="1:12" x14ac:dyDescent="0.3">
      <c r="A15" s="10" t="s">
        <v>603</v>
      </c>
      <c r="B15" s="6" t="s">
        <v>604</v>
      </c>
    </row>
    <row r="16" spans="1:12" x14ac:dyDescent="0.3">
      <c r="A16" s="4" t="s">
        <v>585</v>
      </c>
      <c r="B16" s="9">
        <f>SUMIFS(Data!$J$1:$J$501,Data!$F$1:$F$501,'working sheet'!A16,Data!$C$1:$C$501,'working sheet'!$L$1)</f>
        <v>74861</v>
      </c>
      <c r="F16" s="11" t="s">
        <v>611</v>
      </c>
      <c r="G16" s="11" t="s">
        <v>607</v>
      </c>
    </row>
    <row r="17" spans="1:11" x14ac:dyDescent="0.3">
      <c r="A17" s="4" t="s">
        <v>586</v>
      </c>
      <c r="B17" s="9">
        <f>SUMIFS(Data!$J$1:$J$501,Data!$F$1:$F$501,'working sheet'!A17,Data!$C$1:$C$501,'working sheet'!$L$1)</f>
        <v>77413</v>
      </c>
      <c r="F17" s="11" t="s">
        <v>605</v>
      </c>
      <c r="G17" t="s">
        <v>512</v>
      </c>
      <c r="H17" t="s">
        <v>511</v>
      </c>
      <c r="I17" t="s">
        <v>509</v>
      </c>
      <c r="J17" t="s">
        <v>510</v>
      </c>
      <c r="K17" t="s">
        <v>606</v>
      </c>
    </row>
    <row r="18" spans="1:11" x14ac:dyDescent="0.3">
      <c r="A18" s="4" t="s">
        <v>583</v>
      </c>
      <c r="B18" s="9">
        <f>SUMIFS(Data!$J$1:$J$501,Data!$F$1:$F$501,'working sheet'!A18,Data!$C$1:$C$501,'working sheet'!$L$1)</f>
        <v>83315</v>
      </c>
      <c r="F18" s="12" t="s">
        <v>583</v>
      </c>
      <c r="G18" s="13">
        <v>19068</v>
      </c>
      <c r="H18" s="13">
        <v>28533</v>
      </c>
      <c r="I18" s="13">
        <v>33946</v>
      </c>
      <c r="J18" s="13">
        <v>30138</v>
      </c>
      <c r="K18" s="13">
        <v>111685</v>
      </c>
    </row>
    <row r="19" spans="1:11" x14ac:dyDescent="0.3">
      <c r="A19" s="4" t="s">
        <v>584</v>
      </c>
      <c r="B19" s="9">
        <f>SUMIFS(Data!$J$1:$J$501,Data!$F$1:$F$501,'working sheet'!A19,Data!$C$1:$C$501,'working sheet'!$L$1)</f>
        <v>106526</v>
      </c>
      <c r="F19" s="12" t="s">
        <v>586</v>
      </c>
      <c r="G19" s="13">
        <v>38438</v>
      </c>
      <c r="H19" s="13">
        <v>28327</v>
      </c>
      <c r="I19" s="13">
        <v>27166</v>
      </c>
      <c r="J19" s="13">
        <v>25320</v>
      </c>
      <c r="K19" s="13">
        <v>119251</v>
      </c>
    </row>
    <row r="20" spans="1:11" x14ac:dyDescent="0.3">
      <c r="F20" s="12" t="s">
        <v>585</v>
      </c>
      <c r="G20" s="13">
        <v>34133</v>
      </c>
      <c r="H20" s="13">
        <v>23706</v>
      </c>
      <c r="I20" s="13">
        <v>34691</v>
      </c>
      <c r="J20" s="13">
        <v>43918</v>
      </c>
      <c r="K20" s="13">
        <v>136448</v>
      </c>
    </row>
    <row r="21" spans="1:11" x14ac:dyDescent="0.3">
      <c r="F21" s="12" t="s">
        <v>584</v>
      </c>
      <c r="G21" s="13">
        <v>27369</v>
      </c>
      <c r="H21" s="13">
        <v>35858</v>
      </c>
      <c r="I21" s="13">
        <v>22729</v>
      </c>
      <c r="J21" s="13">
        <v>33852</v>
      </c>
      <c r="K21" s="13">
        <v>119808</v>
      </c>
    </row>
    <row r="22" spans="1:11" x14ac:dyDescent="0.3">
      <c r="F22" s="12" t="s">
        <v>606</v>
      </c>
      <c r="G22" s="13">
        <v>119008</v>
      </c>
      <c r="H22" s="13">
        <v>116424</v>
      </c>
      <c r="I22" s="13">
        <v>118532</v>
      </c>
      <c r="J22" s="13">
        <v>133228</v>
      </c>
      <c r="K22" s="13">
        <v>487192</v>
      </c>
    </row>
  </sheetData>
  <sortState ref="A2:A13">
    <sortCondition ref="A2:A13" customList="January,February,March,April,May,June,July,August,September,October,November,December"/>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G1:Q4"/>
  <sheetViews>
    <sheetView showGridLines="0" tabSelected="1" workbookViewId="0">
      <selection activeCell="G10" sqref="G10"/>
    </sheetView>
  </sheetViews>
  <sheetFormatPr defaultRowHeight="14.4" x14ac:dyDescent="0.3"/>
  <sheetData>
    <row r="1" spans="7:17" ht="28.8" x14ac:dyDescent="0.55000000000000004">
      <c r="G1" s="16"/>
      <c r="H1" s="17" t="s">
        <v>612</v>
      </c>
      <c r="I1" s="18"/>
      <c r="J1" s="18"/>
      <c r="K1" s="18"/>
      <c r="L1" s="18"/>
      <c r="M1" s="18"/>
      <c r="N1" s="18"/>
      <c r="O1" s="18"/>
      <c r="P1" s="19"/>
      <c r="Q1" s="14"/>
    </row>
    <row r="4" spans="7:17" x14ac:dyDescent="0.3">
      <c r="K4" s="1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3" r:id="rId3" name="Drop Down 7">
              <controlPr defaultSize="0" autoLine="0" autoPict="0">
                <anchor moveWithCells="1">
                  <from>
                    <xdr:col>3</xdr:col>
                    <xdr:colOff>243840</xdr:colOff>
                    <xdr:row>4</xdr:row>
                    <xdr:rowOff>83820</xdr:rowOff>
                  </from>
                  <to>
                    <xdr:col>6</xdr:col>
                    <xdr:colOff>68580</xdr:colOff>
                    <xdr:row>6</xdr:row>
                    <xdr:rowOff>152400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A1:K501"/>
  <sheetViews>
    <sheetView workbookViewId="0">
      <selection activeCell="F27" sqref="F27"/>
    </sheetView>
  </sheetViews>
  <sheetFormatPr defaultRowHeight="14.4" x14ac:dyDescent="0.3"/>
  <cols>
    <col min="1" max="1" width="13.44140625" customWidth="1"/>
    <col min="2" max="2" width="15.44140625" style="1" customWidth="1"/>
    <col min="3" max="3" width="20.21875" customWidth="1"/>
    <col min="4" max="4" width="16.109375" customWidth="1"/>
    <col min="5" max="5" width="16.77734375" customWidth="1"/>
    <col min="6" max="6" width="17" customWidth="1"/>
    <col min="7" max="7" width="13.44140625" customWidth="1"/>
    <col min="8" max="8" width="11.6640625" customWidth="1"/>
    <col min="9" max="9" width="13.44140625" customWidth="1"/>
    <col min="10" max="10" width="15.88671875" customWidth="1"/>
    <col min="11" max="11" width="15.21875" customWidth="1"/>
  </cols>
  <sheetData>
    <row r="1" spans="1:11" x14ac:dyDescent="0.3">
      <c r="A1" s="6" t="s">
        <v>0</v>
      </c>
      <c r="B1" s="7" t="s">
        <v>1</v>
      </c>
      <c r="C1" s="8" t="s">
        <v>2</v>
      </c>
      <c r="D1" s="6" t="s">
        <v>3</v>
      </c>
      <c r="E1" s="6" t="s">
        <v>4</v>
      </c>
      <c r="F1" s="6" t="s">
        <v>5</v>
      </c>
      <c r="G1" s="6" t="s">
        <v>6</v>
      </c>
      <c r="H1" s="6" t="s">
        <v>7</v>
      </c>
      <c r="I1" s="6" t="s">
        <v>8</v>
      </c>
      <c r="J1" s="6" t="s">
        <v>587</v>
      </c>
      <c r="K1" s="6" t="s">
        <v>600</v>
      </c>
    </row>
    <row r="2" spans="1:11" x14ac:dyDescent="0.3">
      <c r="A2" s="4" t="s">
        <v>9</v>
      </c>
      <c r="B2" s="5">
        <v>45041</v>
      </c>
      <c r="C2" s="9" t="s">
        <v>509</v>
      </c>
      <c r="D2" s="4" t="s">
        <v>513</v>
      </c>
      <c r="E2" s="4" t="s">
        <v>533</v>
      </c>
      <c r="F2" s="4" t="s">
        <v>583</v>
      </c>
      <c r="G2" s="9">
        <v>322</v>
      </c>
      <c r="H2" s="4">
        <v>1</v>
      </c>
      <c r="I2" s="9">
        <v>59</v>
      </c>
      <c r="J2" s="3">
        <f>H2*G2</f>
        <v>322</v>
      </c>
      <c r="K2" t="s">
        <v>588</v>
      </c>
    </row>
    <row r="3" spans="1:11" x14ac:dyDescent="0.3">
      <c r="A3" s="4" t="s">
        <v>10</v>
      </c>
      <c r="B3" s="5">
        <v>44942</v>
      </c>
      <c r="C3" s="9" t="s">
        <v>509</v>
      </c>
      <c r="D3" s="4" t="s">
        <v>514</v>
      </c>
      <c r="E3" s="4" t="s">
        <v>534</v>
      </c>
      <c r="F3" s="4" t="s">
        <v>584</v>
      </c>
      <c r="G3" s="9">
        <v>232</v>
      </c>
      <c r="H3" s="4">
        <v>2</v>
      </c>
      <c r="I3" s="9">
        <v>35</v>
      </c>
      <c r="J3" s="3">
        <f t="shared" ref="J3:J66" si="0">H3*G3</f>
        <v>464</v>
      </c>
      <c r="K3" t="s">
        <v>589</v>
      </c>
    </row>
    <row r="4" spans="1:11" x14ac:dyDescent="0.3">
      <c r="A4" s="4" t="s">
        <v>11</v>
      </c>
      <c r="B4" s="5">
        <v>45259</v>
      </c>
      <c r="C4" s="9" t="s">
        <v>509</v>
      </c>
      <c r="D4" s="4" t="s">
        <v>514</v>
      </c>
      <c r="E4" s="4" t="s">
        <v>535</v>
      </c>
      <c r="F4" s="4" t="s">
        <v>585</v>
      </c>
      <c r="G4" s="9">
        <v>1417</v>
      </c>
      <c r="H4" s="4">
        <v>4</v>
      </c>
      <c r="I4" s="9">
        <v>133</v>
      </c>
      <c r="J4" s="3">
        <f t="shared" si="0"/>
        <v>5668</v>
      </c>
      <c r="K4" t="s">
        <v>590</v>
      </c>
    </row>
    <row r="5" spans="1:11" x14ac:dyDescent="0.3">
      <c r="A5" s="4" t="s">
        <v>12</v>
      </c>
      <c r="B5" s="5">
        <v>45143</v>
      </c>
      <c r="C5" s="9" t="s">
        <v>510</v>
      </c>
      <c r="D5" s="4" t="s">
        <v>515</v>
      </c>
      <c r="E5" s="4" t="s">
        <v>536</v>
      </c>
      <c r="F5" s="4" t="s">
        <v>585</v>
      </c>
      <c r="G5" s="9">
        <v>713</v>
      </c>
      <c r="H5" s="4">
        <v>2</v>
      </c>
      <c r="I5" s="9">
        <v>66</v>
      </c>
      <c r="J5" s="3">
        <f t="shared" si="0"/>
        <v>1426</v>
      </c>
      <c r="K5" t="s">
        <v>591</v>
      </c>
    </row>
    <row r="6" spans="1:11" x14ac:dyDescent="0.3">
      <c r="A6" s="4" t="s">
        <v>13</v>
      </c>
      <c r="B6" s="5">
        <v>44976</v>
      </c>
      <c r="C6" s="9" t="s">
        <v>510</v>
      </c>
      <c r="D6" s="4" t="s">
        <v>515</v>
      </c>
      <c r="E6" s="4" t="s">
        <v>537</v>
      </c>
      <c r="F6" s="4" t="s">
        <v>586</v>
      </c>
      <c r="G6" s="9">
        <v>750</v>
      </c>
      <c r="H6" s="4">
        <v>3</v>
      </c>
      <c r="I6" s="9">
        <v>128</v>
      </c>
      <c r="J6" s="3">
        <f t="shared" si="0"/>
        <v>2250</v>
      </c>
      <c r="K6" t="s">
        <v>592</v>
      </c>
    </row>
    <row r="7" spans="1:11" x14ac:dyDescent="0.3">
      <c r="A7" s="4" t="s">
        <v>14</v>
      </c>
      <c r="B7" s="5">
        <v>44967</v>
      </c>
      <c r="C7" s="9" t="s">
        <v>509</v>
      </c>
      <c r="D7" s="4" t="s">
        <v>516</v>
      </c>
      <c r="E7" s="4" t="s">
        <v>537</v>
      </c>
      <c r="F7" s="4" t="s">
        <v>586</v>
      </c>
      <c r="G7" s="9">
        <v>1126</v>
      </c>
      <c r="H7" s="4">
        <v>5</v>
      </c>
      <c r="I7" s="9">
        <v>255</v>
      </c>
      <c r="J7" s="3">
        <f t="shared" si="0"/>
        <v>5630</v>
      </c>
      <c r="K7" t="s">
        <v>592</v>
      </c>
    </row>
    <row r="8" spans="1:11" x14ac:dyDescent="0.3">
      <c r="A8" s="4" t="s">
        <v>15</v>
      </c>
      <c r="B8" s="5">
        <v>44962</v>
      </c>
      <c r="C8" s="9" t="s">
        <v>510</v>
      </c>
      <c r="D8" s="4" t="s">
        <v>517</v>
      </c>
      <c r="E8" s="4" t="s">
        <v>535</v>
      </c>
      <c r="F8" s="4" t="s">
        <v>585</v>
      </c>
      <c r="G8" s="9">
        <v>139</v>
      </c>
      <c r="H8" s="4">
        <v>2</v>
      </c>
      <c r="I8" s="9">
        <v>28</v>
      </c>
      <c r="J8" s="3">
        <f t="shared" si="0"/>
        <v>278</v>
      </c>
      <c r="K8" t="s">
        <v>592</v>
      </c>
    </row>
    <row r="9" spans="1:11" x14ac:dyDescent="0.3">
      <c r="A9" s="4" t="s">
        <v>16</v>
      </c>
      <c r="B9" s="5">
        <v>45069</v>
      </c>
      <c r="C9" s="9" t="s">
        <v>509</v>
      </c>
      <c r="D9" s="4" t="s">
        <v>518</v>
      </c>
      <c r="E9" s="4" t="s">
        <v>537</v>
      </c>
      <c r="F9" s="4" t="s">
        <v>586</v>
      </c>
      <c r="G9" s="9">
        <v>934</v>
      </c>
      <c r="H9" s="4">
        <v>3</v>
      </c>
      <c r="I9" s="9">
        <v>77</v>
      </c>
      <c r="J9" s="3">
        <f t="shared" si="0"/>
        <v>2802</v>
      </c>
      <c r="K9" t="s">
        <v>593</v>
      </c>
    </row>
    <row r="10" spans="1:11" x14ac:dyDescent="0.3">
      <c r="A10" s="4" t="s">
        <v>17</v>
      </c>
      <c r="B10" s="5">
        <v>45276</v>
      </c>
      <c r="C10" s="9" t="s">
        <v>510</v>
      </c>
      <c r="D10" s="4" t="s">
        <v>519</v>
      </c>
      <c r="E10" s="4" t="s">
        <v>536</v>
      </c>
      <c r="F10" s="4" t="s">
        <v>583</v>
      </c>
      <c r="G10" s="9">
        <v>1313</v>
      </c>
      <c r="H10" s="4">
        <v>5</v>
      </c>
      <c r="I10" s="9">
        <v>232</v>
      </c>
      <c r="J10" s="3">
        <f t="shared" si="0"/>
        <v>6565</v>
      </c>
      <c r="K10" t="s">
        <v>594</v>
      </c>
    </row>
    <row r="11" spans="1:11" x14ac:dyDescent="0.3">
      <c r="A11" s="4" t="s">
        <v>18</v>
      </c>
      <c r="B11" s="5">
        <v>45065</v>
      </c>
      <c r="C11" s="9" t="s">
        <v>511</v>
      </c>
      <c r="D11" s="4" t="s">
        <v>520</v>
      </c>
      <c r="E11" s="4" t="s">
        <v>537</v>
      </c>
      <c r="F11" s="4" t="s">
        <v>584</v>
      </c>
      <c r="G11" s="9">
        <v>1979</v>
      </c>
      <c r="H11" s="4">
        <v>5</v>
      </c>
      <c r="I11" s="9">
        <v>185</v>
      </c>
      <c r="J11" s="3">
        <f t="shared" si="0"/>
        <v>9895</v>
      </c>
      <c r="K11" t="s">
        <v>593</v>
      </c>
    </row>
    <row r="12" spans="1:11" x14ac:dyDescent="0.3">
      <c r="A12" s="4" t="s">
        <v>19</v>
      </c>
      <c r="B12" s="5">
        <v>45088</v>
      </c>
      <c r="C12" s="9" t="s">
        <v>510</v>
      </c>
      <c r="D12" s="4" t="s">
        <v>515</v>
      </c>
      <c r="E12" s="4" t="s">
        <v>534</v>
      </c>
      <c r="F12" s="4" t="s">
        <v>585</v>
      </c>
      <c r="G12" s="9">
        <v>832</v>
      </c>
      <c r="H12" s="4">
        <v>1</v>
      </c>
      <c r="I12" s="9">
        <v>76</v>
      </c>
      <c r="J12" s="3">
        <f t="shared" si="0"/>
        <v>832</v>
      </c>
      <c r="K12" t="s">
        <v>595</v>
      </c>
    </row>
    <row r="13" spans="1:11" x14ac:dyDescent="0.3">
      <c r="A13" s="4" t="s">
        <v>20</v>
      </c>
      <c r="B13" s="5">
        <v>45256</v>
      </c>
      <c r="C13" s="9" t="s">
        <v>510</v>
      </c>
      <c r="D13" s="4" t="s">
        <v>519</v>
      </c>
      <c r="E13" s="4" t="s">
        <v>538</v>
      </c>
      <c r="F13" s="4" t="s">
        <v>584</v>
      </c>
      <c r="G13" s="9">
        <v>944</v>
      </c>
      <c r="H13" s="4">
        <v>3</v>
      </c>
      <c r="I13" s="9">
        <v>73</v>
      </c>
      <c r="J13" s="3">
        <f t="shared" si="0"/>
        <v>2832</v>
      </c>
      <c r="K13" t="s">
        <v>590</v>
      </c>
    </row>
    <row r="14" spans="1:11" x14ac:dyDescent="0.3">
      <c r="A14" s="4" t="s">
        <v>21</v>
      </c>
      <c r="B14" s="5">
        <v>45131</v>
      </c>
      <c r="C14" s="9" t="s">
        <v>510</v>
      </c>
      <c r="D14" s="4" t="s">
        <v>517</v>
      </c>
      <c r="E14" s="4" t="s">
        <v>539</v>
      </c>
      <c r="F14" s="4" t="s">
        <v>584</v>
      </c>
      <c r="G14" s="9">
        <v>755</v>
      </c>
      <c r="H14" s="4">
        <v>2</v>
      </c>
      <c r="I14" s="9">
        <v>114</v>
      </c>
      <c r="J14" s="3">
        <f t="shared" si="0"/>
        <v>1510</v>
      </c>
      <c r="K14" t="s">
        <v>596</v>
      </c>
    </row>
    <row r="15" spans="1:11" x14ac:dyDescent="0.3">
      <c r="A15" s="4" t="s">
        <v>22</v>
      </c>
      <c r="B15" s="5">
        <v>45248</v>
      </c>
      <c r="C15" s="9" t="s">
        <v>509</v>
      </c>
      <c r="D15" s="4" t="s">
        <v>513</v>
      </c>
      <c r="E15" s="4" t="s">
        <v>540</v>
      </c>
      <c r="F15" s="4" t="s">
        <v>586</v>
      </c>
      <c r="G15" s="9">
        <v>361</v>
      </c>
      <c r="H15" s="4">
        <v>4</v>
      </c>
      <c r="I15" s="9">
        <v>61</v>
      </c>
      <c r="J15" s="3">
        <f t="shared" si="0"/>
        <v>1444</v>
      </c>
      <c r="K15" t="s">
        <v>590</v>
      </c>
    </row>
    <row r="16" spans="1:11" x14ac:dyDescent="0.3">
      <c r="A16" s="4" t="s">
        <v>23</v>
      </c>
      <c r="B16" s="5">
        <v>45055</v>
      </c>
      <c r="C16" s="9" t="s">
        <v>512</v>
      </c>
      <c r="D16" s="4" t="s">
        <v>521</v>
      </c>
      <c r="E16" s="4" t="s">
        <v>541</v>
      </c>
      <c r="F16" s="4" t="s">
        <v>584</v>
      </c>
      <c r="G16" s="9">
        <v>1943</v>
      </c>
      <c r="H16" s="4">
        <v>1</v>
      </c>
      <c r="I16" s="9">
        <v>361</v>
      </c>
      <c r="J16" s="3">
        <f t="shared" si="0"/>
        <v>1943</v>
      </c>
      <c r="K16" t="s">
        <v>593</v>
      </c>
    </row>
    <row r="17" spans="1:11" x14ac:dyDescent="0.3">
      <c r="A17" s="4" t="s">
        <v>24</v>
      </c>
      <c r="B17" s="5">
        <v>45255</v>
      </c>
      <c r="C17" s="9" t="s">
        <v>509</v>
      </c>
      <c r="D17" s="4" t="s">
        <v>514</v>
      </c>
      <c r="E17" s="4" t="s">
        <v>542</v>
      </c>
      <c r="F17" s="4" t="s">
        <v>583</v>
      </c>
      <c r="G17" s="9">
        <v>713</v>
      </c>
      <c r="H17" s="4">
        <v>3</v>
      </c>
      <c r="I17" s="9">
        <v>97</v>
      </c>
      <c r="J17" s="3">
        <f t="shared" si="0"/>
        <v>2139</v>
      </c>
      <c r="K17" t="s">
        <v>590</v>
      </c>
    </row>
    <row r="18" spans="1:11" x14ac:dyDescent="0.3">
      <c r="A18" s="4" t="s">
        <v>25</v>
      </c>
      <c r="B18" s="5">
        <v>45018</v>
      </c>
      <c r="C18" s="9" t="s">
        <v>512</v>
      </c>
      <c r="D18" s="4" t="s">
        <v>522</v>
      </c>
      <c r="E18" s="4" t="s">
        <v>543</v>
      </c>
      <c r="F18" s="4" t="s">
        <v>583</v>
      </c>
      <c r="G18" s="9">
        <v>1039</v>
      </c>
      <c r="H18" s="4">
        <v>1</v>
      </c>
      <c r="I18" s="9">
        <v>233</v>
      </c>
      <c r="J18" s="3">
        <f t="shared" si="0"/>
        <v>1039</v>
      </c>
      <c r="K18" t="s">
        <v>588</v>
      </c>
    </row>
    <row r="19" spans="1:11" x14ac:dyDescent="0.3">
      <c r="A19" s="4" t="s">
        <v>26</v>
      </c>
      <c r="B19" s="5">
        <v>45118</v>
      </c>
      <c r="C19" s="9" t="s">
        <v>510</v>
      </c>
      <c r="D19" s="4" t="s">
        <v>517</v>
      </c>
      <c r="E19" s="4" t="s">
        <v>540</v>
      </c>
      <c r="F19" s="4" t="s">
        <v>585</v>
      </c>
      <c r="G19" s="9">
        <v>1536</v>
      </c>
      <c r="H19" s="4">
        <v>5</v>
      </c>
      <c r="I19" s="9">
        <v>369</v>
      </c>
      <c r="J19" s="3">
        <f t="shared" si="0"/>
        <v>7680</v>
      </c>
      <c r="K19" t="s">
        <v>596</v>
      </c>
    </row>
    <row r="20" spans="1:11" x14ac:dyDescent="0.3">
      <c r="A20" s="4" t="s">
        <v>27</v>
      </c>
      <c r="B20" s="5">
        <v>44936</v>
      </c>
      <c r="C20" s="9" t="s">
        <v>509</v>
      </c>
      <c r="D20" s="4" t="s">
        <v>514</v>
      </c>
      <c r="E20" s="4" t="s">
        <v>544</v>
      </c>
      <c r="F20" s="4" t="s">
        <v>583</v>
      </c>
      <c r="G20" s="9">
        <v>268</v>
      </c>
      <c r="H20" s="4">
        <v>3</v>
      </c>
      <c r="I20" s="9">
        <v>60</v>
      </c>
      <c r="J20" s="3">
        <f t="shared" si="0"/>
        <v>804</v>
      </c>
      <c r="K20" t="s">
        <v>589</v>
      </c>
    </row>
    <row r="21" spans="1:11" x14ac:dyDescent="0.3">
      <c r="A21" s="4" t="s">
        <v>28</v>
      </c>
      <c r="B21" s="5">
        <v>45217</v>
      </c>
      <c r="C21" s="9" t="s">
        <v>510</v>
      </c>
      <c r="D21" s="4" t="s">
        <v>519</v>
      </c>
      <c r="E21" s="4" t="s">
        <v>533</v>
      </c>
      <c r="F21" s="4" t="s">
        <v>586</v>
      </c>
      <c r="G21" s="9">
        <v>1896</v>
      </c>
      <c r="H21" s="4">
        <v>1</v>
      </c>
      <c r="I21" s="9">
        <v>372</v>
      </c>
      <c r="J21" s="3">
        <f t="shared" si="0"/>
        <v>1896</v>
      </c>
      <c r="K21" t="s">
        <v>597</v>
      </c>
    </row>
    <row r="22" spans="1:11" x14ac:dyDescent="0.3">
      <c r="A22" s="4" t="s">
        <v>29</v>
      </c>
      <c r="B22" s="5">
        <v>45264</v>
      </c>
      <c r="C22" s="9" t="s">
        <v>509</v>
      </c>
      <c r="D22" s="4" t="s">
        <v>514</v>
      </c>
      <c r="E22" s="4" t="s">
        <v>545</v>
      </c>
      <c r="F22" s="4" t="s">
        <v>585</v>
      </c>
      <c r="G22" s="9">
        <v>976</v>
      </c>
      <c r="H22" s="4">
        <v>5</v>
      </c>
      <c r="I22" s="9">
        <v>81</v>
      </c>
      <c r="J22" s="3">
        <f t="shared" si="0"/>
        <v>4880</v>
      </c>
      <c r="K22" t="s">
        <v>594</v>
      </c>
    </row>
    <row r="23" spans="1:11" x14ac:dyDescent="0.3">
      <c r="A23" s="4" t="s">
        <v>30</v>
      </c>
      <c r="B23" s="5">
        <v>45086</v>
      </c>
      <c r="C23" s="9" t="s">
        <v>512</v>
      </c>
      <c r="D23" s="4" t="s">
        <v>523</v>
      </c>
      <c r="E23" s="4" t="s">
        <v>535</v>
      </c>
      <c r="F23" s="4" t="s">
        <v>585</v>
      </c>
      <c r="G23" s="9">
        <v>828</v>
      </c>
      <c r="H23" s="4">
        <v>3</v>
      </c>
      <c r="I23" s="9">
        <v>113</v>
      </c>
      <c r="J23" s="3">
        <f t="shared" si="0"/>
        <v>2484</v>
      </c>
      <c r="K23" t="s">
        <v>595</v>
      </c>
    </row>
    <row r="24" spans="1:11" x14ac:dyDescent="0.3">
      <c r="A24" s="4" t="s">
        <v>31</v>
      </c>
      <c r="B24" s="5">
        <v>44959</v>
      </c>
      <c r="C24" s="9" t="s">
        <v>512</v>
      </c>
      <c r="D24" s="4" t="s">
        <v>522</v>
      </c>
      <c r="E24" s="4" t="s">
        <v>546</v>
      </c>
      <c r="F24" s="4" t="s">
        <v>585</v>
      </c>
      <c r="G24" s="9">
        <v>709</v>
      </c>
      <c r="H24" s="4">
        <v>5</v>
      </c>
      <c r="I24" s="9">
        <v>114</v>
      </c>
      <c r="J24" s="3">
        <f t="shared" si="0"/>
        <v>3545</v>
      </c>
      <c r="K24" t="s">
        <v>592</v>
      </c>
    </row>
    <row r="25" spans="1:11" x14ac:dyDescent="0.3">
      <c r="A25" s="4" t="s">
        <v>32</v>
      </c>
      <c r="B25" s="5">
        <v>45250</v>
      </c>
      <c r="C25" s="9" t="s">
        <v>511</v>
      </c>
      <c r="D25" s="4" t="s">
        <v>524</v>
      </c>
      <c r="E25" s="4" t="s">
        <v>535</v>
      </c>
      <c r="F25" s="4" t="s">
        <v>586</v>
      </c>
      <c r="G25" s="9">
        <v>164</v>
      </c>
      <c r="H25" s="4">
        <v>1</v>
      </c>
      <c r="I25" s="9">
        <v>38</v>
      </c>
      <c r="J25" s="3">
        <f t="shared" si="0"/>
        <v>164</v>
      </c>
      <c r="K25" t="s">
        <v>590</v>
      </c>
    </row>
    <row r="26" spans="1:11" x14ac:dyDescent="0.3">
      <c r="A26" s="4" t="s">
        <v>33</v>
      </c>
      <c r="B26" s="5">
        <v>45269</v>
      </c>
      <c r="C26" s="9" t="s">
        <v>510</v>
      </c>
      <c r="D26" s="4" t="s">
        <v>515</v>
      </c>
      <c r="E26" s="4" t="s">
        <v>547</v>
      </c>
      <c r="F26" s="4" t="s">
        <v>585</v>
      </c>
      <c r="G26" s="9">
        <v>996</v>
      </c>
      <c r="H26" s="4">
        <v>5</v>
      </c>
      <c r="I26" s="9">
        <v>76</v>
      </c>
      <c r="J26" s="3">
        <f t="shared" si="0"/>
        <v>4980</v>
      </c>
      <c r="K26" t="s">
        <v>594</v>
      </c>
    </row>
    <row r="27" spans="1:11" x14ac:dyDescent="0.3">
      <c r="A27" s="4" t="s">
        <v>34</v>
      </c>
      <c r="B27" s="5">
        <v>45024</v>
      </c>
      <c r="C27" s="9" t="s">
        <v>512</v>
      </c>
      <c r="D27" s="4" t="s">
        <v>523</v>
      </c>
      <c r="E27" s="4" t="s">
        <v>548</v>
      </c>
      <c r="F27" s="4" t="s">
        <v>584</v>
      </c>
      <c r="G27" s="9">
        <v>233</v>
      </c>
      <c r="H27" s="4">
        <v>4</v>
      </c>
      <c r="I27" s="9">
        <v>28</v>
      </c>
      <c r="J27" s="3">
        <f t="shared" si="0"/>
        <v>932</v>
      </c>
      <c r="K27" t="s">
        <v>588</v>
      </c>
    </row>
    <row r="28" spans="1:11" x14ac:dyDescent="0.3">
      <c r="A28" s="4" t="s">
        <v>35</v>
      </c>
      <c r="B28" s="5">
        <v>45261</v>
      </c>
      <c r="C28" s="9" t="s">
        <v>512</v>
      </c>
      <c r="D28" s="4" t="s">
        <v>521</v>
      </c>
      <c r="E28" s="4" t="s">
        <v>549</v>
      </c>
      <c r="F28" s="4" t="s">
        <v>586</v>
      </c>
      <c r="G28" s="9">
        <v>1969</v>
      </c>
      <c r="H28" s="4">
        <v>1</v>
      </c>
      <c r="I28" s="9">
        <v>122</v>
      </c>
      <c r="J28" s="3">
        <f t="shared" si="0"/>
        <v>1969</v>
      </c>
      <c r="K28" t="s">
        <v>594</v>
      </c>
    </row>
    <row r="29" spans="1:11" x14ac:dyDescent="0.3">
      <c r="A29" s="4" t="s">
        <v>36</v>
      </c>
      <c r="B29" s="5">
        <v>45024</v>
      </c>
      <c r="C29" s="9" t="s">
        <v>510</v>
      </c>
      <c r="D29" s="4">
        <f ca="1">D29:D36</f>
        <v>0</v>
      </c>
      <c r="E29" s="4" t="s">
        <v>550</v>
      </c>
      <c r="F29" s="4" t="s">
        <v>585</v>
      </c>
      <c r="G29" s="9">
        <v>1095</v>
      </c>
      <c r="H29" s="4">
        <v>2</v>
      </c>
      <c r="I29" s="9">
        <v>147</v>
      </c>
      <c r="J29" s="3">
        <f t="shared" si="0"/>
        <v>2190</v>
      </c>
      <c r="K29" t="s">
        <v>588</v>
      </c>
    </row>
    <row r="30" spans="1:11" x14ac:dyDescent="0.3">
      <c r="A30" s="4" t="s">
        <v>37</v>
      </c>
      <c r="B30" s="5">
        <v>45153</v>
      </c>
      <c r="C30" s="9" t="s">
        <v>510</v>
      </c>
      <c r="D30" s="4" t="s">
        <v>525</v>
      </c>
      <c r="E30" s="4" t="s">
        <v>551</v>
      </c>
      <c r="F30" s="4" t="s">
        <v>585</v>
      </c>
      <c r="G30" s="9">
        <v>1625</v>
      </c>
      <c r="H30" s="4">
        <v>5</v>
      </c>
      <c r="I30" s="9">
        <v>113</v>
      </c>
      <c r="J30" s="3">
        <f t="shared" si="0"/>
        <v>8125</v>
      </c>
      <c r="K30" t="s">
        <v>591</v>
      </c>
    </row>
    <row r="31" spans="1:11" x14ac:dyDescent="0.3">
      <c r="A31" s="4" t="s">
        <v>38</v>
      </c>
      <c r="B31" s="5">
        <v>45135</v>
      </c>
      <c r="C31" s="9" t="s">
        <v>509</v>
      </c>
      <c r="D31" s="4" t="s">
        <v>513</v>
      </c>
      <c r="E31" s="4" t="s">
        <v>552</v>
      </c>
      <c r="F31" s="4" t="s">
        <v>585</v>
      </c>
      <c r="G31" s="9">
        <v>997</v>
      </c>
      <c r="H31" s="4">
        <v>2</v>
      </c>
      <c r="I31" s="9">
        <v>222</v>
      </c>
      <c r="J31" s="3">
        <f t="shared" si="0"/>
        <v>1994</v>
      </c>
      <c r="K31" t="s">
        <v>596</v>
      </c>
    </row>
    <row r="32" spans="1:11" x14ac:dyDescent="0.3">
      <c r="A32" s="4" t="s">
        <v>39</v>
      </c>
      <c r="B32" s="5">
        <v>45126</v>
      </c>
      <c r="C32" s="9" t="s">
        <v>509</v>
      </c>
      <c r="D32" s="4" t="s">
        <v>518</v>
      </c>
      <c r="E32" s="4" t="s">
        <v>553</v>
      </c>
      <c r="F32" s="4" t="s">
        <v>584</v>
      </c>
      <c r="G32" s="9">
        <v>567</v>
      </c>
      <c r="H32" s="4">
        <v>4</v>
      </c>
      <c r="I32" s="9">
        <v>60</v>
      </c>
      <c r="J32" s="3">
        <f t="shared" si="0"/>
        <v>2268</v>
      </c>
      <c r="K32" t="s">
        <v>596</v>
      </c>
    </row>
    <row r="33" spans="1:11" x14ac:dyDescent="0.3">
      <c r="A33" s="4" t="s">
        <v>40</v>
      </c>
      <c r="B33" s="5">
        <v>45038</v>
      </c>
      <c r="C33" s="9" t="s">
        <v>512</v>
      </c>
      <c r="D33" s="4" t="s">
        <v>523</v>
      </c>
      <c r="E33" s="4" t="s">
        <v>554</v>
      </c>
      <c r="F33" s="4" t="s">
        <v>585</v>
      </c>
      <c r="G33" s="9">
        <v>1938</v>
      </c>
      <c r="H33" s="4">
        <v>5</v>
      </c>
      <c r="I33" s="9">
        <v>382</v>
      </c>
      <c r="J33" s="3">
        <f t="shared" si="0"/>
        <v>9690</v>
      </c>
      <c r="K33" t="s">
        <v>588</v>
      </c>
    </row>
    <row r="34" spans="1:11" x14ac:dyDescent="0.3">
      <c r="A34" s="4" t="s">
        <v>41</v>
      </c>
      <c r="B34" s="5">
        <v>45226</v>
      </c>
      <c r="C34" s="9" t="s">
        <v>509</v>
      </c>
      <c r="D34" s="4" t="s">
        <v>526</v>
      </c>
      <c r="E34" s="4" t="s">
        <v>555</v>
      </c>
      <c r="F34" s="4" t="s">
        <v>586</v>
      </c>
      <c r="G34" s="9">
        <v>979</v>
      </c>
      <c r="H34" s="4">
        <v>5</v>
      </c>
      <c r="I34" s="9">
        <v>79</v>
      </c>
      <c r="J34" s="3">
        <f t="shared" si="0"/>
        <v>4895</v>
      </c>
      <c r="K34" t="s">
        <v>597</v>
      </c>
    </row>
    <row r="35" spans="1:11" x14ac:dyDescent="0.3">
      <c r="A35" s="4" t="s">
        <v>42</v>
      </c>
      <c r="B35" s="5">
        <v>44961</v>
      </c>
      <c r="C35" s="9" t="s">
        <v>509</v>
      </c>
      <c r="D35" s="4" t="s">
        <v>518</v>
      </c>
      <c r="E35" s="4" t="s">
        <v>556</v>
      </c>
      <c r="F35" s="4" t="s">
        <v>586</v>
      </c>
      <c r="G35" s="9">
        <v>1366</v>
      </c>
      <c r="H35" s="4">
        <v>2</v>
      </c>
      <c r="I35" s="9">
        <v>178</v>
      </c>
      <c r="J35" s="3">
        <f t="shared" si="0"/>
        <v>2732</v>
      </c>
      <c r="K35" t="s">
        <v>592</v>
      </c>
    </row>
    <row r="36" spans="1:11" x14ac:dyDescent="0.3">
      <c r="A36" s="4" t="s">
        <v>43</v>
      </c>
      <c r="B36" s="5">
        <v>44968</v>
      </c>
      <c r="C36" s="9" t="s">
        <v>511</v>
      </c>
      <c r="D36" s="4" t="s">
        <v>527</v>
      </c>
      <c r="E36" s="4" t="s">
        <v>557</v>
      </c>
      <c r="F36" s="4" t="s">
        <v>586</v>
      </c>
      <c r="G36" s="9">
        <v>867</v>
      </c>
      <c r="H36" s="4">
        <v>5</v>
      </c>
      <c r="I36" s="9">
        <v>141</v>
      </c>
      <c r="J36" s="3">
        <f t="shared" si="0"/>
        <v>4335</v>
      </c>
      <c r="K36" t="s">
        <v>592</v>
      </c>
    </row>
    <row r="37" spans="1:11" x14ac:dyDescent="0.3">
      <c r="A37" s="4" t="s">
        <v>44</v>
      </c>
      <c r="B37" s="5">
        <v>45087</v>
      </c>
      <c r="C37" s="9" t="s">
        <v>510</v>
      </c>
      <c r="D37" s="4" t="s">
        <v>528</v>
      </c>
      <c r="E37" s="4" t="s">
        <v>558</v>
      </c>
      <c r="F37" s="4" t="s">
        <v>585</v>
      </c>
      <c r="G37" s="9">
        <v>515</v>
      </c>
      <c r="H37" s="4">
        <v>4</v>
      </c>
      <c r="I37" s="9">
        <v>39</v>
      </c>
      <c r="J37" s="3">
        <f t="shared" si="0"/>
        <v>2060</v>
      </c>
      <c r="K37" t="s">
        <v>595</v>
      </c>
    </row>
    <row r="38" spans="1:11" x14ac:dyDescent="0.3">
      <c r="A38" s="4" t="s">
        <v>45</v>
      </c>
      <c r="B38" s="5">
        <v>44964</v>
      </c>
      <c r="C38" s="9" t="s">
        <v>510</v>
      </c>
      <c r="D38" s="4" t="s">
        <v>525</v>
      </c>
      <c r="E38" s="4" t="s">
        <v>559</v>
      </c>
      <c r="F38" s="4" t="s">
        <v>583</v>
      </c>
      <c r="G38" s="9">
        <v>68</v>
      </c>
      <c r="H38" s="4">
        <v>5</v>
      </c>
      <c r="I38" s="9">
        <v>17</v>
      </c>
      <c r="J38" s="3">
        <f t="shared" si="0"/>
        <v>340</v>
      </c>
      <c r="K38" t="s">
        <v>592</v>
      </c>
    </row>
    <row r="39" spans="1:11" x14ac:dyDescent="0.3">
      <c r="A39" s="4" t="s">
        <v>46</v>
      </c>
      <c r="B39" s="5">
        <v>45062</v>
      </c>
      <c r="C39" s="9" t="s">
        <v>509</v>
      </c>
      <c r="D39" s="4" t="s">
        <v>513</v>
      </c>
      <c r="E39" s="4" t="s">
        <v>543</v>
      </c>
      <c r="F39" s="4" t="s">
        <v>585</v>
      </c>
      <c r="G39" s="9">
        <v>308</v>
      </c>
      <c r="H39" s="4">
        <v>3</v>
      </c>
      <c r="I39" s="9">
        <v>69</v>
      </c>
      <c r="J39" s="3">
        <f t="shared" si="0"/>
        <v>924</v>
      </c>
      <c r="K39" t="s">
        <v>593</v>
      </c>
    </row>
    <row r="40" spans="1:11" x14ac:dyDescent="0.3">
      <c r="A40" s="4" t="s">
        <v>47</v>
      </c>
      <c r="B40" s="5">
        <v>45151</v>
      </c>
      <c r="C40" s="9" t="s">
        <v>511</v>
      </c>
      <c r="D40" s="4" t="s">
        <v>529</v>
      </c>
      <c r="E40" s="4" t="s">
        <v>552</v>
      </c>
      <c r="F40" s="4" t="s">
        <v>583</v>
      </c>
      <c r="G40" s="9">
        <v>1675</v>
      </c>
      <c r="H40" s="4">
        <v>3</v>
      </c>
      <c r="I40" s="9">
        <v>288</v>
      </c>
      <c r="J40" s="3">
        <f t="shared" si="0"/>
        <v>5025</v>
      </c>
      <c r="K40" t="s">
        <v>591</v>
      </c>
    </row>
    <row r="41" spans="1:11" x14ac:dyDescent="0.3">
      <c r="A41" s="4" t="s">
        <v>48</v>
      </c>
      <c r="B41" s="5">
        <v>44980</v>
      </c>
      <c r="C41" s="9" t="s">
        <v>509</v>
      </c>
      <c r="D41" s="4" t="s">
        <v>514</v>
      </c>
      <c r="E41" s="4" t="s">
        <v>558</v>
      </c>
      <c r="F41" s="4" t="s">
        <v>583</v>
      </c>
      <c r="G41" s="9">
        <v>1880</v>
      </c>
      <c r="H41" s="4">
        <v>2</v>
      </c>
      <c r="I41" s="9">
        <v>193</v>
      </c>
      <c r="J41" s="3">
        <f t="shared" si="0"/>
        <v>3760</v>
      </c>
      <c r="K41" t="s">
        <v>592</v>
      </c>
    </row>
    <row r="42" spans="1:11" x14ac:dyDescent="0.3">
      <c r="A42" s="4" t="s">
        <v>49</v>
      </c>
      <c r="B42" s="5">
        <v>45071</v>
      </c>
      <c r="C42" s="9" t="s">
        <v>509</v>
      </c>
      <c r="D42" s="4" t="s">
        <v>514</v>
      </c>
      <c r="E42" s="4" t="s">
        <v>547</v>
      </c>
      <c r="F42" s="4" t="s">
        <v>585</v>
      </c>
      <c r="G42" s="9">
        <v>1229</v>
      </c>
      <c r="H42" s="4">
        <v>3</v>
      </c>
      <c r="I42" s="9">
        <v>111</v>
      </c>
      <c r="J42" s="3">
        <f t="shared" si="0"/>
        <v>3687</v>
      </c>
      <c r="K42" t="s">
        <v>593</v>
      </c>
    </row>
    <row r="43" spans="1:11" x14ac:dyDescent="0.3">
      <c r="A43" s="4" t="s">
        <v>50</v>
      </c>
      <c r="B43" s="5">
        <v>44953</v>
      </c>
      <c r="C43" s="9" t="s">
        <v>510</v>
      </c>
      <c r="D43" s="4" t="s">
        <v>517</v>
      </c>
      <c r="E43" s="4" t="s">
        <v>560</v>
      </c>
      <c r="F43" s="4" t="s">
        <v>584</v>
      </c>
      <c r="G43" s="9">
        <v>229</v>
      </c>
      <c r="H43" s="4">
        <v>4</v>
      </c>
      <c r="I43" s="9">
        <v>49</v>
      </c>
      <c r="J43" s="3">
        <f t="shared" si="0"/>
        <v>916</v>
      </c>
      <c r="K43" t="s">
        <v>589</v>
      </c>
    </row>
    <row r="44" spans="1:11" x14ac:dyDescent="0.3">
      <c r="A44" s="4" t="s">
        <v>51</v>
      </c>
      <c r="B44" s="5">
        <v>44993</v>
      </c>
      <c r="C44" s="9" t="s">
        <v>509</v>
      </c>
      <c r="D44" s="4" t="s">
        <v>513</v>
      </c>
      <c r="E44" s="4" t="s">
        <v>542</v>
      </c>
      <c r="F44" s="4" t="s">
        <v>583</v>
      </c>
      <c r="G44" s="9">
        <v>1292</v>
      </c>
      <c r="H44" s="4">
        <v>3</v>
      </c>
      <c r="I44" s="9">
        <v>106</v>
      </c>
      <c r="J44" s="3">
        <f t="shared" si="0"/>
        <v>3876</v>
      </c>
      <c r="K44" t="s">
        <v>598</v>
      </c>
    </row>
    <row r="45" spans="1:11" x14ac:dyDescent="0.3">
      <c r="A45" s="4" t="s">
        <v>52</v>
      </c>
      <c r="B45" s="5">
        <v>44931</v>
      </c>
      <c r="C45" s="9" t="s">
        <v>512</v>
      </c>
      <c r="D45" s="4" t="s">
        <v>530</v>
      </c>
      <c r="E45" s="4" t="s">
        <v>561</v>
      </c>
      <c r="F45" s="4" t="s">
        <v>584</v>
      </c>
      <c r="G45" s="9">
        <v>268</v>
      </c>
      <c r="H45" s="4">
        <v>2</v>
      </c>
      <c r="I45" s="9">
        <v>42</v>
      </c>
      <c r="J45" s="3">
        <f t="shared" si="0"/>
        <v>536</v>
      </c>
      <c r="K45" t="s">
        <v>589</v>
      </c>
    </row>
    <row r="46" spans="1:11" x14ac:dyDescent="0.3">
      <c r="A46" s="4" t="s">
        <v>53</v>
      </c>
      <c r="B46" s="5">
        <v>44992</v>
      </c>
      <c r="C46" s="9" t="s">
        <v>510</v>
      </c>
      <c r="D46" s="4" t="s">
        <v>517</v>
      </c>
      <c r="E46" s="4" t="s">
        <v>562</v>
      </c>
      <c r="F46" s="4" t="s">
        <v>585</v>
      </c>
      <c r="G46" s="9">
        <v>131</v>
      </c>
      <c r="H46" s="4">
        <v>3</v>
      </c>
      <c r="I46" s="9">
        <v>30</v>
      </c>
      <c r="J46" s="3">
        <f t="shared" si="0"/>
        <v>393</v>
      </c>
      <c r="K46" t="s">
        <v>598</v>
      </c>
    </row>
    <row r="47" spans="1:11" x14ac:dyDescent="0.3">
      <c r="A47" s="4" t="s">
        <v>54</v>
      </c>
      <c r="B47" s="5">
        <v>45054</v>
      </c>
      <c r="C47" s="9" t="s">
        <v>509</v>
      </c>
      <c r="D47" s="4" t="s">
        <v>526</v>
      </c>
      <c r="E47" s="4" t="s">
        <v>549</v>
      </c>
      <c r="F47" s="4" t="s">
        <v>585</v>
      </c>
      <c r="G47" s="9">
        <v>1350</v>
      </c>
      <c r="H47" s="4">
        <v>3</v>
      </c>
      <c r="I47" s="9">
        <v>278</v>
      </c>
      <c r="J47" s="3">
        <f t="shared" si="0"/>
        <v>4050</v>
      </c>
      <c r="K47" t="s">
        <v>593</v>
      </c>
    </row>
    <row r="48" spans="1:11" x14ac:dyDescent="0.3">
      <c r="A48" s="4" t="s">
        <v>55</v>
      </c>
      <c r="B48" s="5">
        <v>45010</v>
      </c>
      <c r="C48" s="9" t="s">
        <v>512</v>
      </c>
      <c r="D48" s="4" t="s">
        <v>530</v>
      </c>
      <c r="E48" s="4" t="s">
        <v>533</v>
      </c>
      <c r="F48" s="4" t="s">
        <v>585</v>
      </c>
      <c r="G48" s="9">
        <v>1953</v>
      </c>
      <c r="H48" s="4">
        <v>2</v>
      </c>
      <c r="I48" s="9">
        <v>442</v>
      </c>
      <c r="J48" s="3">
        <f t="shared" si="0"/>
        <v>3906</v>
      </c>
      <c r="K48" t="s">
        <v>598</v>
      </c>
    </row>
    <row r="49" spans="1:11" x14ac:dyDescent="0.3">
      <c r="A49" s="4" t="s">
        <v>56</v>
      </c>
      <c r="B49" s="5">
        <v>45269</v>
      </c>
      <c r="C49" s="9" t="s">
        <v>509</v>
      </c>
      <c r="D49" s="4" t="s">
        <v>518</v>
      </c>
      <c r="E49" s="4" t="s">
        <v>548</v>
      </c>
      <c r="F49" s="4" t="s">
        <v>583</v>
      </c>
      <c r="G49" s="9">
        <v>1734</v>
      </c>
      <c r="H49" s="4">
        <v>2</v>
      </c>
      <c r="I49" s="9">
        <v>179</v>
      </c>
      <c r="J49" s="3">
        <f t="shared" si="0"/>
        <v>3468</v>
      </c>
      <c r="K49" t="s">
        <v>594</v>
      </c>
    </row>
    <row r="50" spans="1:11" x14ac:dyDescent="0.3">
      <c r="A50" s="4" t="s">
        <v>57</v>
      </c>
      <c r="B50" s="5">
        <v>45040</v>
      </c>
      <c r="C50" s="9" t="s">
        <v>509</v>
      </c>
      <c r="D50" s="4" t="s">
        <v>516</v>
      </c>
      <c r="E50" s="4" t="s">
        <v>563</v>
      </c>
      <c r="F50" s="4" t="s">
        <v>586</v>
      </c>
      <c r="G50" s="9">
        <v>439</v>
      </c>
      <c r="H50" s="4">
        <v>4</v>
      </c>
      <c r="I50" s="9">
        <v>52</v>
      </c>
      <c r="J50" s="3">
        <f t="shared" si="0"/>
        <v>1756</v>
      </c>
      <c r="K50" t="s">
        <v>588</v>
      </c>
    </row>
    <row r="51" spans="1:11" x14ac:dyDescent="0.3">
      <c r="A51" s="4" t="s">
        <v>58</v>
      </c>
      <c r="B51" s="5">
        <v>45025</v>
      </c>
      <c r="C51" s="9" t="s">
        <v>511</v>
      </c>
      <c r="D51" s="4" t="s">
        <v>520</v>
      </c>
      <c r="E51" s="4" t="s">
        <v>558</v>
      </c>
      <c r="F51" s="4" t="s">
        <v>586</v>
      </c>
      <c r="G51" s="9">
        <v>827</v>
      </c>
      <c r="H51" s="4">
        <v>3</v>
      </c>
      <c r="I51" s="9">
        <v>184</v>
      </c>
      <c r="J51" s="3">
        <f t="shared" si="0"/>
        <v>2481</v>
      </c>
      <c r="K51" t="s">
        <v>588</v>
      </c>
    </row>
    <row r="52" spans="1:11" x14ac:dyDescent="0.3">
      <c r="A52" s="4" t="s">
        <v>59</v>
      </c>
      <c r="B52" s="5">
        <v>45201</v>
      </c>
      <c r="C52" s="9" t="s">
        <v>510</v>
      </c>
      <c r="D52" s="4" t="s">
        <v>528</v>
      </c>
      <c r="E52" s="4" t="s">
        <v>549</v>
      </c>
      <c r="F52" s="4" t="s">
        <v>584</v>
      </c>
      <c r="G52" s="9">
        <v>695</v>
      </c>
      <c r="H52" s="4">
        <v>1</v>
      </c>
      <c r="I52" s="9">
        <v>50</v>
      </c>
      <c r="J52" s="3">
        <f t="shared" si="0"/>
        <v>695</v>
      </c>
      <c r="K52" t="s">
        <v>597</v>
      </c>
    </row>
    <row r="53" spans="1:11" x14ac:dyDescent="0.3">
      <c r="A53" s="4" t="s">
        <v>60</v>
      </c>
      <c r="B53" s="5">
        <v>44982</v>
      </c>
      <c r="C53" s="9" t="s">
        <v>510</v>
      </c>
      <c r="D53" s="4" t="s">
        <v>519</v>
      </c>
      <c r="E53" s="4" t="s">
        <v>534</v>
      </c>
      <c r="F53" s="4" t="s">
        <v>583</v>
      </c>
      <c r="G53" s="9">
        <v>1213</v>
      </c>
      <c r="H53" s="4">
        <v>3</v>
      </c>
      <c r="I53" s="9">
        <v>237</v>
      </c>
      <c r="J53" s="3">
        <f t="shared" si="0"/>
        <v>3639</v>
      </c>
      <c r="K53" t="s">
        <v>592</v>
      </c>
    </row>
    <row r="54" spans="1:11" x14ac:dyDescent="0.3">
      <c r="A54" s="4" t="s">
        <v>61</v>
      </c>
      <c r="B54" s="5">
        <v>45222</v>
      </c>
      <c r="C54" s="9" t="s">
        <v>510</v>
      </c>
      <c r="D54" s="4" t="s">
        <v>525</v>
      </c>
      <c r="E54" s="4" t="s">
        <v>537</v>
      </c>
      <c r="F54" s="4" t="s">
        <v>586</v>
      </c>
      <c r="G54" s="9">
        <v>420</v>
      </c>
      <c r="H54" s="4">
        <v>1</v>
      </c>
      <c r="I54" s="9">
        <v>80</v>
      </c>
      <c r="J54" s="3">
        <f t="shared" si="0"/>
        <v>420</v>
      </c>
      <c r="K54" t="s">
        <v>597</v>
      </c>
    </row>
    <row r="55" spans="1:11" x14ac:dyDescent="0.3">
      <c r="A55" s="4" t="s">
        <v>62</v>
      </c>
      <c r="B55" s="5">
        <v>45147</v>
      </c>
      <c r="C55" s="9" t="s">
        <v>509</v>
      </c>
      <c r="D55" s="4" t="s">
        <v>514</v>
      </c>
      <c r="E55" s="4" t="s">
        <v>564</v>
      </c>
      <c r="F55" s="4" t="s">
        <v>585</v>
      </c>
      <c r="G55" s="9">
        <v>186</v>
      </c>
      <c r="H55" s="4">
        <v>3</v>
      </c>
      <c r="I55" s="9">
        <v>32</v>
      </c>
      <c r="J55" s="3">
        <f t="shared" si="0"/>
        <v>558</v>
      </c>
      <c r="K55" t="s">
        <v>591</v>
      </c>
    </row>
    <row r="56" spans="1:11" x14ac:dyDescent="0.3">
      <c r="A56" s="4" t="s">
        <v>63</v>
      </c>
      <c r="B56" s="5">
        <v>45136</v>
      </c>
      <c r="C56" s="9" t="s">
        <v>509</v>
      </c>
      <c r="D56" s="4" t="s">
        <v>526</v>
      </c>
      <c r="E56" s="4" t="s">
        <v>558</v>
      </c>
      <c r="F56" s="4" t="s">
        <v>583</v>
      </c>
      <c r="G56" s="9">
        <v>686</v>
      </c>
      <c r="H56" s="4">
        <v>3</v>
      </c>
      <c r="I56" s="9">
        <v>110</v>
      </c>
      <c r="J56" s="3">
        <f t="shared" si="0"/>
        <v>2058</v>
      </c>
      <c r="K56" t="s">
        <v>596</v>
      </c>
    </row>
    <row r="57" spans="1:11" x14ac:dyDescent="0.3">
      <c r="A57" s="4" t="s">
        <v>64</v>
      </c>
      <c r="B57" s="5">
        <v>45016</v>
      </c>
      <c r="C57" s="9" t="s">
        <v>511</v>
      </c>
      <c r="D57" s="4" t="s">
        <v>531</v>
      </c>
      <c r="E57" s="4" t="s">
        <v>549</v>
      </c>
      <c r="F57" s="4" t="s">
        <v>584</v>
      </c>
      <c r="G57" s="9">
        <v>1250</v>
      </c>
      <c r="H57" s="4">
        <v>3</v>
      </c>
      <c r="I57" s="9">
        <v>164</v>
      </c>
      <c r="J57" s="3">
        <f t="shared" si="0"/>
        <v>3750</v>
      </c>
      <c r="K57" t="s">
        <v>598</v>
      </c>
    </row>
    <row r="58" spans="1:11" x14ac:dyDescent="0.3">
      <c r="A58" s="4" t="s">
        <v>65</v>
      </c>
      <c r="B58" s="5">
        <v>45147</v>
      </c>
      <c r="C58" s="9" t="s">
        <v>509</v>
      </c>
      <c r="D58" s="4" t="s">
        <v>526</v>
      </c>
      <c r="E58" s="4" t="s">
        <v>565</v>
      </c>
      <c r="F58" s="4" t="s">
        <v>583</v>
      </c>
      <c r="G58" s="9">
        <v>1582</v>
      </c>
      <c r="H58" s="4">
        <v>5</v>
      </c>
      <c r="I58" s="9">
        <v>286</v>
      </c>
      <c r="J58" s="3">
        <f t="shared" si="0"/>
        <v>7910</v>
      </c>
      <c r="K58" t="s">
        <v>591</v>
      </c>
    </row>
    <row r="59" spans="1:11" x14ac:dyDescent="0.3">
      <c r="A59" s="4" t="s">
        <v>66</v>
      </c>
      <c r="B59" s="5">
        <v>45036</v>
      </c>
      <c r="C59" s="9" t="s">
        <v>512</v>
      </c>
      <c r="D59" s="4" t="s">
        <v>521</v>
      </c>
      <c r="E59" s="4" t="s">
        <v>549</v>
      </c>
      <c r="F59" s="4" t="s">
        <v>584</v>
      </c>
      <c r="G59" s="9">
        <v>1046</v>
      </c>
      <c r="H59" s="4">
        <v>2</v>
      </c>
      <c r="I59" s="9">
        <v>190</v>
      </c>
      <c r="J59" s="3">
        <f t="shared" si="0"/>
        <v>2092</v>
      </c>
      <c r="K59" t="s">
        <v>588</v>
      </c>
    </row>
    <row r="60" spans="1:11" x14ac:dyDescent="0.3">
      <c r="A60" s="4" t="s">
        <v>67</v>
      </c>
      <c r="B60" s="5">
        <v>45047</v>
      </c>
      <c r="C60" s="9" t="s">
        <v>510</v>
      </c>
      <c r="D60" s="4" t="s">
        <v>517</v>
      </c>
      <c r="E60" s="4" t="s">
        <v>566</v>
      </c>
      <c r="F60" s="4" t="s">
        <v>583</v>
      </c>
      <c r="G60" s="9">
        <v>1361</v>
      </c>
      <c r="H60" s="4">
        <v>2</v>
      </c>
      <c r="I60" s="9">
        <v>287</v>
      </c>
      <c r="J60" s="3">
        <f t="shared" si="0"/>
        <v>2722</v>
      </c>
      <c r="K60" t="s">
        <v>593</v>
      </c>
    </row>
    <row r="61" spans="1:11" x14ac:dyDescent="0.3">
      <c r="A61" s="4" t="s">
        <v>68</v>
      </c>
      <c r="B61" s="5">
        <v>45170</v>
      </c>
      <c r="C61" s="9" t="s">
        <v>511</v>
      </c>
      <c r="D61" s="4" t="s">
        <v>524</v>
      </c>
      <c r="E61" s="4" t="s">
        <v>533</v>
      </c>
      <c r="F61" s="4" t="s">
        <v>586</v>
      </c>
      <c r="G61" s="9">
        <v>1241</v>
      </c>
      <c r="H61" s="4">
        <v>1</v>
      </c>
      <c r="I61" s="9">
        <v>175</v>
      </c>
      <c r="J61" s="3">
        <f t="shared" si="0"/>
        <v>1241</v>
      </c>
      <c r="K61" t="s">
        <v>599</v>
      </c>
    </row>
    <row r="62" spans="1:11" x14ac:dyDescent="0.3">
      <c r="A62" s="4" t="s">
        <v>69</v>
      </c>
      <c r="B62" s="5">
        <v>45051</v>
      </c>
      <c r="C62" s="9" t="s">
        <v>511</v>
      </c>
      <c r="D62" s="4" t="s">
        <v>531</v>
      </c>
      <c r="E62" s="4" t="s">
        <v>538</v>
      </c>
      <c r="F62" s="4" t="s">
        <v>584</v>
      </c>
      <c r="G62" s="9">
        <v>337</v>
      </c>
      <c r="H62" s="4">
        <v>1</v>
      </c>
      <c r="I62" s="9">
        <v>77</v>
      </c>
      <c r="J62" s="3">
        <f t="shared" si="0"/>
        <v>337</v>
      </c>
      <c r="K62" t="s">
        <v>593</v>
      </c>
    </row>
    <row r="63" spans="1:11" x14ac:dyDescent="0.3">
      <c r="A63" s="4" t="s">
        <v>70</v>
      </c>
      <c r="B63" s="5">
        <v>45283</v>
      </c>
      <c r="C63" s="9" t="s">
        <v>509</v>
      </c>
      <c r="D63" s="4" t="s">
        <v>516</v>
      </c>
      <c r="E63" s="4" t="s">
        <v>567</v>
      </c>
      <c r="F63" s="4" t="s">
        <v>585</v>
      </c>
      <c r="G63" s="9">
        <v>1060</v>
      </c>
      <c r="H63" s="4">
        <v>1</v>
      </c>
      <c r="I63" s="9">
        <v>171</v>
      </c>
      <c r="J63" s="3">
        <f t="shared" si="0"/>
        <v>1060</v>
      </c>
      <c r="K63" t="s">
        <v>594</v>
      </c>
    </row>
    <row r="64" spans="1:11" x14ac:dyDescent="0.3">
      <c r="A64" s="4" t="s">
        <v>71</v>
      </c>
      <c r="B64" s="5">
        <v>45268</v>
      </c>
      <c r="C64" s="9" t="s">
        <v>509</v>
      </c>
      <c r="D64" s="4" t="s">
        <v>516</v>
      </c>
      <c r="E64" s="4" t="s">
        <v>568</v>
      </c>
      <c r="F64" s="4" t="s">
        <v>585</v>
      </c>
      <c r="G64" s="9">
        <v>1085</v>
      </c>
      <c r="H64" s="4">
        <v>5</v>
      </c>
      <c r="I64" s="9">
        <v>183</v>
      </c>
      <c r="J64" s="3">
        <f t="shared" si="0"/>
        <v>5425</v>
      </c>
      <c r="K64" t="s">
        <v>594</v>
      </c>
    </row>
    <row r="65" spans="1:11" x14ac:dyDescent="0.3">
      <c r="A65" s="4" t="s">
        <v>72</v>
      </c>
      <c r="B65" s="5">
        <v>45155</v>
      </c>
      <c r="C65" s="9" t="s">
        <v>512</v>
      </c>
      <c r="D65" s="4" t="s">
        <v>530</v>
      </c>
      <c r="E65" s="4" t="s">
        <v>561</v>
      </c>
      <c r="F65" s="4" t="s">
        <v>584</v>
      </c>
      <c r="G65" s="9">
        <v>1799</v>
      </c>
      <c r="H65" s="4">
        <v>4</v>
      </c>
      <c r="I65" s="9">
        <v>251</v>
      </c>
      <c r="J65" s="3">
        <f t="shared" si="0"/>
        <v>7196</v>
      </c>
      <c r="K65" t="s">
        <v>591</v>
      </c>
    </row>
    <row r="66" spans="1:11" x14ac:dyDescent="0.3">
      <c r="A66" s="4" t="s">
        <v>73</v>
      </c>
      <c r="B66" s="5">
        <v>45049</v>
      </c>
      <c r="C66" s="9" t="s">
        <v>511</v>
      </c>
      <c r="D66" s="4" t="s">
        <v>529</v>
      </c>
      <c r="E66" s="4" t="s">
        <v>569</v>
      </c>
      <c r="F66" s="4" t="s">
        <v>584</v>
      </c>
      <c r="G66" s="9">
        <v>585</v>
      </c>
      <c r="H66" s="4">
        <v>1</v>
      </c>
      <c r="I66" s="9">
        <v>112</v>
      </c>
      <c r="J66" s="3">
        <f t="shared" si="0"/>
        <v>585</v>
      </c>
      <c r="K66" t="s">
        <v>593</v>
      </c>
    </row>
    <row r="67" spans="1:11" x14ac:dyDescent="0.3">
      <c r="A67" s="4" t="s">
        <v>74</v>
      </c>
      <c r="B67" s="5">
        <v>45203</v>
      </c>
      <c r="C67" s="9" t="s">
        <v>511</v>
      </c>
      <c r="D67" s="4" t="s">
        <v>529</v>
      </c>
      <c r="E67" s="4" t="s">
        <v>570</v>
      </c>
      <c r="F67" s="4" t="s">
        <v>583</v>
      </c>
      <c r="G67" s="9">
        <v>207</v>
      </c>
      <c r="H67" s="4">
        <v>2</v>
      </c>
      <c r="I67" s="9">
        <v>19</v>
      </c>
      <c r="J67" s="3">
        <f t="shared" ref="J67:J130" si="1">H67*G67</f>
        <v>414</v>
      </c>
      <c r="K67" t="s">
        <v>597</v>
      </c>
    </row>
    <row r="68" spans="1:11" x14ac:dyDescent="0.3">
      <c r="A68" s="4" t="s">
        <v>75</v>
      </c>
      <c r="B68" s="5">
        <v>45135</v>
      </c>
      <c r="C68" s="9" t="s">
        <v>511</v>
      </c>
      <c r="D68" s="4" t="s">
        <v>520</v>
      </c>
      <c r="E68" s="4" t="s">
        <v>548</v>
      </c>
      <c r="F68" s="4" t="s">
        <v>586</v>
      </c>
      <c r="G68" s="9">
        <v>695</v>
      </c>
      <c r="H68" s="4">
        <v>4</v>
      </c>
      <c r="I68" s="9">
        <v>92</v>
      </c>
      <c r="J68" s="3">
        <f t="shared" si="1"/>
        <v>2780</v>
      </c>
      <c r="K68" t="s">
        <v>596</v>
      </c>
    </row>
    <row r="69" spans="1:11" x14ac:dyDescent="0.3">
      <c r="A69" s="4" t="s">
        <v>76</v>
      </c>
      <c r="B69" s="5">
        <v>45226</v>
      </c>
      <c r="C69" s="9" t="s">
        <v>511</v>
      </c>
      <c r="D69" s="4" t="s">
        <v>531</v>
      </c>
      <c r="E69" s="4" t="s">
        <v>542</v>
      </c>
      <c r="F69" s="4" t="s">
        <v>584</v>
      </c>
      <c r="G69" s="9">
        <v>1894</v>
      </c>
      <c r="H69" s="4">
        <v>1</v>
      </c>
      <c r="I69" s="9">
        <v>419</v>
      </c>
      <c r="J69" s="3">
        <f t="shared" si="1"/>
        <v>1894</v>
      </c>
      <c r="K69" t="s">
        <v>597</v>
      </c>
    </row>
    <row r="70" spans="1:11" x14ac:dyDescent="0.3">
      <c r="A70" s="4" t="s">
        <v>77</v>
      </c>
      <c r="B70" s="5">
        <v>45079</v>
      </c>
      <c r="C70" s="9" t="s">
        <v>512</v>
      </c>
      <c r="D70" s="4" t="s">
        <v>521</v>
      </c>
      <c r="E70" s="4" t="s">
        <v>571</v>
      </c>
      <c r="F70" s="4" t="s">
        <v>586</v>
      </c>
      <c r="G70" s="9">
        <v>1519</v>
      </c>
      <c r="H70" s="4">
        <v>4</v>
      </c>
      <c r="I70" s="9">
        <v>239</v>
      </c>
      <c r="J70" s="3">
        <f t="shared" si="1"/>
        <v>6076</v>
      </c>
      <c r="K70" t="s">
        <v>595</v>
      </c>
    </row>
    <row r="71" spans="1:11" x14ac:dyDescent="0.3">
      <c r="A71" s="4" t="s">
        <v>78</v>
      </c>
      <c r="B71" s="5">
        <v>45150</v>
      </c>
      <c r="C71" s="9" t="s">
        <v>511</v>
      </c>
      <c r="D71" s="4" t="s">
        <v>531</v>
      </c>
      <c r="E71" s="4" t="s">
        <v>547</v>
      </c>
      <c r="F71" s="4" t="s">
        <v>585</v>
      </c>
      <c r="G71" s="9">
        <v>997</v>
      </c>
      <c r="H71" s="4">
        <v>4</v>
      </c>
      <c r="I71" s="9">
        <v>116</v>
      </c>
      <c r="J71" s="3">
        <f t="shared" si="1"/>
        <v>3988</v>
      </c>
      <c r="K71" t="s">
        <v>591</v>
      </c>
    </row>
    <row r="72" spans="1:11" x14ac:dyDescent="0.3">
      <c r="A72" s="4" t="s">
        <v>79</v>
      </c>
      <c r="B72" s="5">
        <v>45245</v>
      </c>
      <c r="C72" s="9" t="s">
        <v>512</v>
      </c>
      <c r="D72" s="4" t="s">
        <v>523</v>
      </c>
      <c r="E72" s="4" t="s">
        <v>545</v>
      </c>
      <c r="F72" s="4" t="s">
        <v>584</v>
      </c>
      <c r="G72" s="9">
        <v>1091</v>
      </c>
      <c r="H72" s="4">
        <v>4</v>
      </c>
      <c r="I72" s="9">
        <v>183</v>
      </c>
      <c r="J72" s="3">
        <f t="shared" si="1"/>
        <v>4364</v>
      </c>
      <c r="K72" t="s">
        <v>590</v>
      </c>
    </row>
    <row r="73" spans="1:11" x14ac:dyDescent="0.3">
      <c r="A73" s="4" t="s">
        <v>80</v>
      </c>
      <c r="B73" s="5">
        <v>45163</v>
      </c>
      <c r="C73" s="9" t="s">
        <v>509</v>
      </c>
      <c r="D73" s="4" t="s">
        <v>513</v>
      </c>
      <c r="E73" s="4" t="s">
        <v>545</v>
      </c>
      <c r="F73" s="4" t="s">
        <v>584</v>
      </c>
      <c r="G73" s="9">
        <v>404</v>
      </c>
      <c r="H73" s="4">
        <v>3</v>
      </c>
      <c r="I73" s="9">
        <v>50</v>
      </c>
      <c r="J73" s="3">
        <f t="shared" si="1"/>
        <v>1212</v>
      </c>
      <c r="K73" t="s">
        <v>591</v>
      </c>
    </row>
    <row r="74" spans="1:11" x14ac:dyDescent="0.3">
      <c r="A74" s="4" t="s">
        <v>81</v>
      </c>
      <c r="B74" s="5">
        <v>45121</v>
      </c>
      <c r="C74" s="9" t="s">
        <v>511</v>
      </c>
      <c r="D74" s="4" t="s">
        <v>531</v>
      </c>
      <c r="E74" s="4" t="s">
        <v>572</v>
      </c>
      <c r="F74" s="4" t="s">
        <v>583</v>
      </c>
      <c r="G74" s="9">
        <v>592</v>
      </c>
      <c r="H74" s="4">
        <v>4</v>
      </c>
      <c r="I74" s="9">
        <v>59</v>
      </c>
      <c r="J74" s="3">
        <f t="shared" si="1"/>
        <v>2368</v>
      </c>
      <c r="K74" t="s">
        <v>596</v>
      </c>
    </row>
    <row r="75" spans="1:11" x14ac:dyDescent="0.3">
      <c r="A75" s="4" t="s">
        <v>82</v>
      </c>
      <c r="B75" s="5">
        <v>45203</v>
      </c>
      <c r="C75" s="9" t="s">
        <v>509</v>
      </c>
      <c r="D75" s="4" t="s">
        <v>516</v>
      </c>
      <c r="E75" s="4" t="s">
        <v>573</v>
      </c>
      <c r="F75" s="4" t="s">
        <v>586</v>
      </c>
      <c r="G75" s="9">
        <v>151</v>
      </c>
      <c r="H75" s="4">
        <v>3</v>
      </c>
      <c r="I75" s="9">
        <v>14</v>
      </c>
      <c r="J75" s="3">
        <f t="shared" si="1"/>
        <v>453</v>
      </c>
      <c r="K75" t="s">
        <v>597</v>
      </c>
    </row>
    <row r="76" spans="1:11" x14ac:dyDescent="0.3">
      <c r="A76" s="4" t="s">
        <v>83</v>
      </c>
      <c r="B76" s="5">
        <v>45029</v>
      </c>
      <c r="C76" s="9" t="s">
        <v>509</v>
      </c>
      <c r="D76" s="4" t="s">
        <v>513</v>
      </c>
      <c r="E76" s="4" t="s">
        <v>533</v>
      </c>
      <c r="F76" s="4" t="s">
        <v>586</v>
      </c>
      <c r="G76" s="9">
        <v>1686</v>
      </c>
      <c r="H76" s="4">
        <v>5</v>
      </c>
      <c r="I76" s="9">
        <v>135</v>
      </c>
      <c r="J76" s="3">
        <f t="shared" si="1"/>
        <v>8430</v>
      </c>
      <c r="K76" t="s">
        <v>588</v>
      </c>
    </row>
    <row r="77" spans="1:11" x14ac:dyDescent="0.3">
      <c r="A77" s="4" t="s">
        <v>84</v>
      </c>
      <c r="B77" s="5">
        <v>45038</v>
      </c>
      <c r="C77" s="9" t="s">
        <v>511</v>
      </c>
      <c r="D77" s="4" t="s">
        <v>531</v>
      </c>
      <c r="E77" s="4" t="s">
        <v>574</v>
      </c>
      <c r="F77" s="4" t="s">
        <v>586</v>
      </c>
      <c r="G77" s="9">
        <v>956</v>
      </c>
      <c r="H77" s="4">
        <v>3</v>
      </c>
      <c r="I77" s="9">
        <v>194</v>
      </c>
      <c r="J77" s="3">
        <f t="shared" si="1"/>
        <v>2868</v>
      </c>
      <c r="K77" t="s">
        <v>588</v>
      </c>
    </row>
    <row r="78" spans="1:11" x14ac:dyDescent="0.3">
      <c r="A78" s="4" t="s">
        <v>85</v>
      </c>
      <c r="B78" s="5">
        <v>45010</v>
      </c>
      <c r="C78" s="9" t="s">
        <v>511</v>
      </c>
      <c r="D78" s="4" t="s">
        <v>527</v>
      </c>
      <c r="E78" s="4" t="s">
        <v>542</v>
      </c>
      <c r="F78" s="4" t="s">
        <v>586</v>
      </c>
      <c r="G78" s="9">
        <v>1931</v>
      </c>
      <c r="H78" s="4">
        <v>1</v>
      </c>
      <c r="I78" s="9">
        <v>320</v>
      </c>
      <c r="J78" s="3">
        <f t="shared" si="1"/>
        <v>1931</v>
      </c>
      <c r="K78" t="s">
        <v>598</v>
      </c>
    </row>
    <row r="79" spans="1:11" x14ac:dyDescent="0.3">
      <c r="A79" s="4" t="s">
        <v>86</v>
      </c>
      <c r="B79" s="5">
        <v>45028</v>
      </c>
      <c r="C79" s="9" t="s">
        <v>510</v>
      </c>
      <c r="D79" s="4" t="s">
        <v>517</v>
      </c>
      <c r="E79" s="4" t="s">
        <v>538</v>
      </c>
      <c r="F79" s="4" t="s">
        <v>584</v>
      </c>
      <c r="G79" s="9">
        <v>198</v>
      </c>
      <c r="H79" s="4">
        <v>2</v>
      </c>
      <c r="I79" s="9">
        <v>13</v>
      </c>
      <c r="J79" s="3">
        <f t="shared" si="1"/>
        <v>396</v>
      </c>
      <c r="K79" t="s">
        <v>588</v>
      </c>
    </row>
    <row r="80" spans="1:11" x14ac:dyDescent="0.3">
      <c r="A80" s="4" t="s">
        <v>87</v>
      </c>
      <c r="B80" s="5">
        <v>44948</v>
      </c>
      <c r="C80" s="9" t="s">
        <v>510</v>
      </c>
      <c r="D80" s="4" t="s">
        <v>517</v>
      </c>
      <c r="E80" s="4" t="s">
        <v>574</v>
      </c>
      <c r="F80" s="4" t="s">
        <v>586</v>
      </c>
      <c r="G80" s="9">
        <v>727</v>
      </c>
      <c r="H80" s="4">
        <v>4</v>
      </c>
      <c r="I80" s="9">
        <v>132</v>
      </c>
      <c r="J80" s="3">
        <f t="shared" si="1"/>
        <v>2908</v>
      </c>
      <c r="K80" t="s">
        <v>589</v>
      </c>
    </row>
    <row r="81" spans="1:11" x14ac:dyDescent="0.3">
      <c r="A81" s="4" t="s">
        <v>88</v>
      </c>
      <c r="B81" s="5">
        <v>45142</v>
      </c>
      <c r="C81" s="9" t="s">
        <v>509</v>
      </c>
      <c r="D81" s="4" t="s">
        <v>514</v>
      </c>
      <c r="E81" s="4" t="s">
        <v>553</v>
      </c>
      <c r="F81" s="4" t="s">
        <v>583</v>
      </c>
      <c r="G81" s="9">
        <v>1653</v>
      </c>
      <c r="H81" s="4">
        <v>1</v>
      </c>
      <c r="I81" s="9">
        <v>226</v>
      </c>
      <c r="J81" s="3">
        <f t="shared" si="1"/>
        <v>1653</v>
      </c>
      <c r="K81" t="s">
        <v>591</v>
      </c>
    </row>
    <row r="82" spans="1:11" x14ac:dyDescent="0.3">
      <c r="A82" s="4" t="s">
        <v>89</v>
      </c>
      <c r="B82" s="5">
        <v>45017</v>
      </c>
      <c r="C82" s="9" t="s">
        <v>510</v>
      </c>
      <c r="D82" s="4" t="s">
        <v>525</v>
      </c>
      <c r="E82" s="4" t="s">
        <v>562</v>
      </c>
      <c r="F82" s="4" t="s">
        <v>585</v>
      </c>
      <c r="G82" s="9">
        <v>1480</v>
      </c>
      <c r="H82" s="4">
        <v>3</v>
      </c>
      <c r="I82" s="9">
        <v>256</v>
      </c>
      <c r="J82" s="3">
        <f t="shared" si="1"/>
        <v>4440</v>
      </c>
      <c r="K82" t="s">
        <v>588</v>
      </c>
    </row>
    <row r="83" spans="1:11" x14ac:dyDescent="0.3">
      <c r="A83" s="4" t="s">
        <v>90</v>
      </c>
      <c r="B83" s="5">
        <v>45230</v>
      </c>
      <c r="C83" s="9" t="s">
        <v>512</v>
      </c>
      <c r="D83" s="4" t="s">
        <v>521</v>
      </c>
      <c r="E83" s="4" t="s">
        <v>575</v>
      </c>
      <c r="F83" s="4" t="s">
        <v>584</v>
      </c>
      <c r="G83" s="9">
        <v>573</v>
      </c>
      <c r="H83" s="4">
        <v>2</v>
      </c>
      <c r="I83" s="9">
        <v>123</v>
      </c>
      <c r="J83" s="3">
        <f t="shared" si="1"/>
        <v>1146</v>
      </c>
      <c r="K83" t="s">
        <v>597</v>
      </c>
    </row>
    <row r="84" spans="1:11" x14ac:dyDescent="0.3">
      <c r="A84" s="4" t="s">
        <v>91</v>
      </c>
      <c r="B84" s="5">
        <v>45164</v>
      </c>
      <c r="C84" s="9" t="s">
        <v>509</v>
      </c>
      <c r="D84" s="4" t="s">
        <v>526</v>
      </c>
      <c r="E84" s="4" t="s">
        <v>533</v>
      </c>
      <c r="F84" s="4" t="s">
        <v>584</v>
      </c>
      <c r="G84" s="9">
        <v>1161</v>
      </c>
      <c r="H84" s="4">
        <v>4</v>
      </c>
      <c r="I84" s="9">
        <v>136</v>
      </c>
      <c r="J84" s="3">
        <f t="shared" si="1"/>
        <v>4644</v>
      </c>
      <c r="K84" t="s">
        <v>591</v>
      </c>
    </row>
    <row r="85" spans="1:11" x14ac:dyDescent="0.3">
      <c r="A85" s="4" t="s">
        <v>92</v>
      </c>
      <c r="B85" s="5">
        <v>45035</v>
      </c>
      <c r="C85" s="9" t="s">
        <v>512</v>
      </c>
      <c r="D85" s="4" t="s">
        <v>532</v>
      </c>
      <c r="E85" s="4" t="s">
        <v>544</v>
      </c>
      <c r="F85" s="4" t="s">
        <v>585</v>
      </c>
      <c r="G85" s="9">
        <v>741</v>
      </c>
      <c r="H85" s="4">
        <v>3</v>
      </c>
      <c r="I85" s="9">
        <v>87</v>
      </c>
      <c r="J85" s="3">
        <f t="shared" si="1"/>
        <v>2223</v>
      </c>
      <c r="K85" t="s">
        <v>588</v>
      </c>
    </row>
    <row r="86" spans="1:11" x14ac:dyDescent="0.3">
      <c r="A86" s="4" t="s">
        <v>93</v>
      </c>
      <c r="B86" s="5">
        <v>45024</v>
      </c>
      <c r="C86" s="9" t="s">
        <v>510</v>
      </c>
      <c r="D86" s="4" t="s">
        <v>517</v>
      </c>
      <c r="E86" s="4" t="s">
        <v>541</v>
      </c>
      <c r="F86" s="4" t="s">
        <v>586</v>
      </c>
      <c r="G86" s="9">
        <v>216</v>
      </c>
      <c r="H86" s="4">
        <v>4</v>
      </c>
      <c r="I86" s="9">
        <v>32</v>
      </c>
      <c r="J86" s="3">
        <f t="shared" si="1"/>
        <v>864</v>
      </c>
      <c r="K86" t="s">
        <v>588</v>
      </c>
    </row>
    <row r="87" spans="1:11" x14ac:dyDescent="0.3">
      <c r="A87" s="4" t="s">
        <v>94</v>
      </c>
      <c r="B87" s="5">
        <v>44935</v>
      </c>
      <c r="C87" s="9" t="s">
        <v>511</v>
      </c>
      <c r="D87" s="4" t="s">
        <v>531</v>
      </c>
      <c r="E87" s="4" t="s">
        <v>576</v>
      </c>
      <c r="F87" s="4" t="s">
        <v>584</v>
      </c>
      <c r="G87" s="9">
        <v>231</v>
      </c>
      <c r="H87" s="4">
        <v>2</v>
      </c>
      <c r="I87" s="9">
        <v>30</v>
      </c>
      <c r="J87" s="3">
        <f t="shared" si="1"/>
        <v>462</v>
      </c>
      <c r="K87" t="s">
        <v>589</v>
      </c>
    </row>
    <row r="88" spans="1:11" x14ac:dyDescent="0.3">
      <c r="A88" s="4" t="s">
        <v>95</v>
      </c>
      <c r="B88" s="5">
        <v>45210</v>
      </c>
      <c r="C88" s="9" t="s">
        <v>511</v>
      </c>
      <c r="D88" s="4" t="s">
        <v>529</v>
      </c>
      <c r="E88" s="4" t="s">
        <v>563</v>
      </c>
      <c r="F88" s="4" t="s">
        <v>583</v>
      </c>
      <c r="G88" s="9">
        <v>1085</v>
      </c>
      <c r="H88" s="4">
        <v>4</v>
      </c>
      <c r="I88" s="9">
        <v>270</v>
      </c>
      <c r="J88" s="3">
        <f t="shared" si="1"/>
        <v>4340</v>
      </c>
      <c r="K88" t="s">
        <v>597</v>
      </c>
    </row>
    <row r="89" spans="1:11" x14ac:dyDescent="0.3">
      <c r="A89" s="4" t="s">
        <v>96</v>
      </c>
      <c r="B89" s="5">
        <v>45083</v>
      </c>
      <c r="C89" s="9" t="s">
        <v>510</v>
      </c>
      <c r="D89" s="4" t="s">
        <v>528</v>
      </c>
      <c r="E89" s="4" t="s">
        <v>547</v>
      </c>
      <c r="F89" s="4" t="s">
        <v>584</v>
      </c>
      <c r="G89" s="9">
        <v>540</v>
      </c>
      <c r="H89" s="4">
        <v>1</v>
      </c>
      <c r="I89" s="9">
        <v>104</v>
      </c>
      <c r="J89" s="3">
        <f t="shared" si="1"/>
        <v>540</v>
      </c>
      <c r="K89" t="s">
        <v>595</v>
      </c>
    </row>
    <row r="90" spans="1:11" x14ac:dyDescent="0.3">
      <c r="A90" s="4" t="s">
        <v>97</v>
      </c>
      <c r="B90" s="5">
        <v>45037</v>
      </c>
      <c r="C90" s="9" t="s">
        <v>510</v>
      </c>
      <c r="D90" s="4" t="s">
        <v>515</v>
      </c>
      <c r="E90" s="4" t="s">
        <v>550</v>
      </c>
      <c r="F90" s="4" t="s">
        <v>585</v>
      </c>
      <c r="G90" s="9">
        <v>1490</v>
      </c>
      <c r="H90" s="4">
        <v>3</v>
      </c>
      <c r="I90" s="9">
        <v>290</v>
      </c>
      <c r="J90" s="3">
        <f t="shared" si="1"/>
        <v>4470</v>
      </c>
      <c r="K90" t="s">
        <v>588</v>
      </c>
    </row>
    <row r="91" spans="1:11" x14ac:dyDescent="0.3">
      <c r="A91" s="4" t="s">
        <v>98</v>
      </c>
      <c r="B91" s="5">
        <v>45043</v>
      </c>
      <c r="C91" s="9" t="s">
        <v>510</v>
      </c>
      <c r="D91" s="4" t="s">
        <v>515</v>
      </c>
      <c r="E91" s="4" t="s">
        <v>554</v>
      </c>
      <c r="F91" s="4" t="s">
        <v>585</v>
      </c>
      <c r="G91" s="9">
        <v>753</v>
      </c>
      <c r="H91" s="4">
        <v>3</v>
      </c>
      <c r="I91" s="9">
        <v>39</v>
      </c>
      <c r="J91" s="3">
        <f t="shared" si="1"/>
        <v>2259</v>
      </c>
      <c r="K91" t="s">
        <v>588</v>
      </c>
    </row>
    <row r="92" spans="1:11" x14ac:dyDescent="0.3">
      <c r="A92" s="4" t="s">
        <v>99</v>
      </c>
      <c r="B92" s="5">
        <v>45210</v>
      </c>
      <c r="C92" s="9" t="s">
        <v>511</v>
      </c>
      <c r="D92" s="4" t="s">
        <v>529</v>
      </c>
      <c r="E92" s="4" t="s">
        <v>555</v>
      </c>
      <c r="F92" s="4" t="s">
        <v>586</v>
      </c>
      <c r="G92" s="9">
        <v>619</v>
      </c>
      <c r="H92" s="4">
        <v>2</v>
      </c>
      <c r="I92" s="9">
        <v>110</v>
      </c>
      <c r="J92" s="3">
        <f t="shared" si="1"/>
        <v>1238</v>
      </c>
      <c r="K92" t="s">
        <v>597</v>
      </c>
    </row>
    <row r="93" spans="1:11" x14ac:dyDescent="0.3">
      <c r="A93" s="4" t="s">
        <v>100</v>
      </c>
      <c r="B93" s="5">
        <v>45072</v>
      </c>
      <c r="C93" s="9" t="s">
        <v>512</v>
      </c>
      <c r="D93" s="4" t="s">
        <v>522</v>
      </c>
      <c r="E93" s="4" t="s">
        <v>574</v>
      </c>
      <c r="F93" s="4" t="s">
        <v>586</v>
      </c>
      <c r="G93" s="9">
        <v>965</v>
      </c>
      <c r="H93" s="4">
        <v>4</v>
      </c>
      <c r="I93" s="9">
        <v>114</v>
      </c>
      <c r="J93" s="3">
        <f t="shared" si="1"/>
        <v>3860</v>
      </c>
      <c r="K93" t="s">
        <v>593</v>
      </c>
    </row>
    <row r="94" spans="1:11" x14ac:dyDescent="0.3">
      <c r="A94" s="4" t="s">
        <v>101</v>
      </c>
      <c r="B94" s="5">
        <v>44960</v>
      </c>
      <c r="C94" s="9" t="s">
        <v>509</v>
      </c>
      <c r="D94" s="4" t="s">
        <v>526</v>
      </c>
      <c r="E94" s="4" t="s">
        <v>577</v>
      </c>
      <c r="F94" s="4" t="s">
        <v>584</v>
      </c>
      <c r="G94" s="9">
        <v>831</v>
      </c>
      <c r="H94" s="4">
        <v>1</v>
      </c>
      <c r="I94" s="9">
        <v>137</v>
      </c>
      <c r="J94" s="3">
        <f t="shared" si="1"/>
        <v>831</v>
      </c>
      <c r="K94" t="s">
        <v>592</v>
      </c>
    </row>
    <row r="95" spans="1:11" x14ac:dyDescent="0.3">
      <c r="A95" s="4" t="s">
        <v>102</v>
      </c>
      <c r="B95" s="5">
        <v>45082</v>
      </c>
      <c r="C95" s="9" t="s">
        <v>509</v>
      </c>
      <c r="D95" s="4" t="s">
        <v>518</v>
      </c>
      <c r="E95" s="4" t="s">
        <v>574</v>
      </c>
      <c r="F95" s="4" t="s">
        <v>585</v>
      </c>
      <c r="G95" s="9">
        <v>216</v>
      </c>
      <c r="H95" s="4">
        <v>2</v>
      </c>
      <c r="I95" s="9">
        <v>15</v>
      </c>
      <c r="J95" s="3">
        <f t="shared" si="1"/>
        <v>432</v>
      </c>
      <c r="K95" t="s">
        <v>595</v>
      </c>
    </row>
    <row r="96" spans="1:11" x14ac:dyDescent="0.3">
      <c r="A96" s="4" t="s">
        <v>103</v>
      </c>
      <c r="B96" s="5">
        <v>45194</v>
      </c>
      <c r="C96" s="9" t="s">
        <v>512</v>
      </c>
      <c r="D96" s="4" t="s">
        <v>530</v>
      </c>
      <c r="E96" s="4" t="s">
        <v>542</v>
      </c>
      <c r="F96" s="4" t="s">
        <v>585</v>
      </c>
      <c r="G96" s="9">
        <v>791</v>
      </c>
      <c r="H96" s="4">
        <v>4</v>
      </c>
      <c r="I96" s="9">
        <v>86</v>
      </c>
      <c r="J96" s="3">
        <f t="shared" si="1"/>
        <v>3164</v>
      </c>
      <c r="K96" t="s">
        <v>599</v>
      </c>
    </row>
    <row r="97" spans="1:11" x14ac:dyDescent="0.3">
      <c r="A97" s="4" t="s">
        <v>104</v>
      </c>
      <c r="B97" s="5">
        <v>44977</v>
      </c>
      <c r="C97" s="9" t="s">
        <v>512</v>
      </c>
      <c r="D97" s="4" t="s">
        <v>532</v>
      </c>
      <c r="E97" s="4" t="s">
        <v>557</v>
      </c>
      <c r="F97" s="4" t="s">
        <v>586</v>
      </c>
      <c r="G97" s="9">
        <v>1897</v>
      </c>
      <c r="H97" s="4">
        <v>2</v>
      </c>
      <c r="I97" s="9">
        <v>332</v>
      </c>
      <c r="J97" s="3">
        <f t="shared" si="1"/>
        <v>3794</v>
      </c>
      <c r="K97" t="s">
        <v>592</v>
      </c>
    </row>
    <row r="98" spans="1:11" x14ac:dyDescent="0.3">
      <c r="A98" s="4" t="s">
        <v>105</v>
      </c>
      <c r="B98" s="5">
        <v>45015</v>
      </c>
      <c r="C98" s="9" t="s">
        <v>510</v>
      </c>
      <c r="D98" s="4" t="s">
        <v>515</v>
      </c>
      <c r="E98" s="4" t="s">
        <v>533</v>
      </c>
      <c r="F98" s="4" t="s">
        <v>585</v>
      </c>
      <c r="G98" s="9">
        <v>1126</v>
      </c>
      <c r="H98" s="4">
        <v>2</v>
      </c>
      <c r="I98" s="9">
        <v>56</v>
      </c>
      <c r="J98" s="3">
        <f t="shared" si="1"/>
        <v>2252</v>
      </c>
      <c r="K98" t="s">
        <v>598</v>
      </c>
    </row>
    <row r="99" spans="1:11" x14ac:dyDescent="0.3">
      <c r="A99" s="4" t="s">
        <v>106</v>
      </c>
      <c r="B99" s="5">
        <v>44943</v>
      </c>
      <c r="C99" s="9" t="s">
        <v>512</v>
      </c>
      <c r="D99" s="4" t="s">
        <v>530</v>
      </c>
      <c r="E99" s="4" t="s">
        <v>554</v>
      </c>
      <c r="F99" s="4" t="s">
        <v>584</v>
      </c>
      <c r="G99" s="9">
        <v>501</v>
      </c>
      <c r="H99" s="4">
        <v>3</v>
      </c>
      <c r="I99" s="9">
        <v>95</v>
      </c>
      <c r="J99" s="3">
        <f t="shared" si="1"/>
        <v>1503</v>
      </c>
      <c r="K99" t="s">
        <v>589</v>
      </c>
    </row>
    <row r="100" spans="1:11" x14ac:dyDescent="0.3">
      <c r="A100" s="4" t="s">
        <v>107</v>
      </c>
      <c r="B100" s="5">
        <v>45247</v>
      </c>
      <c r="C100" s="9" t="s">
        <v>512</v>
      </c>
      <c r="D100" s="4" t="s">
        <v>522</v>
      </c>
      <c r="E100" s="4" t="s">
        <v>560</v>
      </c>
      <c r="F100" s="4" t="s">
        <v>585</v>
      </c>
      <c r="G100" s="9">
        <v>1200</v>
      </c>
      <c r="H100" s="4">
        <v>2</v>
      </c>
      <c r="I100" s="9">
        <v>162</v>
      </c>
      <c r="J100" s="3">
        <f t="shared" si="1"/>
        <v>2400</v>
      </c>
      <c r="K100" t="s">
        <v>590</v>
      </c>
    </row>
    <row r="101" spans="1:11" x14ac:dyDescent="0.3">
      <c r="A101" s="4" t="s">
        <v>108</v>
      </c>
      <c r="B101" s="5">
        <v>44963</v>
      </c>
      <c r="C101" s="9" t="s">
        <v>511</v>
      </c>
      <c r="D101" s="4" t="s">
        <v>520</v>
      </c>
      <c r="E101" s="4" t="s">
        <v>540</v>
      </c>
      <c r="F101" s="4" t="s">
        <v>583</v>
      </c>
      <c r="G101" s="9">
        <v>166</v>
      </c>
      <c r="H101" s="4">
        <v>3</v>
      </c>
      <c r="I101" s="9">
        <v>28</v>
      </c>
      <c r="J101" s="3">
        <f t="shared" si="1"/>
        <v>498</v>
      </c>
      <c r="K101" t="s">
        <v>592</v>
      </c>
    </row>
    <row r="102" spans="1:11" x14ac:dyDescent="0.3">
      <c r="A102" s="4" t="s">
        <v>109</v>
      </c>
      <c r="B102" s="5">
        <v>45279</v>
      </c>
      <c r="C102" s="9" t="s">
        <v>510</v>
      </c>
      <c r="D102" s="4" t="s">
        <v>525</v>
      </c>
      <c r="E102" s="4" t="s">
        <v>568</v>
      </c>
      <c r="F102" s="4" t="s">
        <v>586</v>
      </c>
      <c r="G102" s="9">
        <v>642</v>
      </c>
      <c r="H102" s="4">
        <v>4</v>
      </c>
      <c r="I102" s="9">
        <v>153</v>
      </c>
      <c r="J102" s="3">
        <f t="shared" si="1"/>
        <v>2568</v>
      </c>
      <c r="K102" t="s">
        <v>594</v>
      </c>
    </row>
    <row r="103" spans="1:11" x14ac:dyDescent="0.3">
      <c r="A103" s="4" t="s">
        <v>110</v>
      </c>
      <c r="B103" s="5">
        <v>44947</v>
      </c>
      <c r="C103" s="9" t="s">
        <v>512</v>
      </c>
      <c r="D103" s="4" t="s">
        <v>521</v>
      </c>
      <c r="E103" s="4" t="s">
        <v>556</v>
      </c>
      <c r="F103" s="4" t="s">
        <v>586</v>
      </c>
      <c r="G103" s="9">
        <v>1784</v>
      </c>
      <c r="H103" s="4">
        <v>3</v>
      </c>
      <c r="I103" s="9">
        <v>304</v>
      </c>
      <c r="J103" s="3">
        <f t="shared" si="1"/>
        <v>5352</v>
      </c>
      <c r="K103" t="s">
        <v>589</v>
      </c>
    </row>
    <row r="104" spans="1:11" x14ac:dyDescent="0.3">
      <c r="A104" s="4" t="s">
        <v>111</v>
      </c>
      <c r="B104" s="5">
        <v>45221</v>
      </c>
      <c r="C104" s="9" t="s">
        <v>509</v>
      </c>
      <c r="D104" s="4" t="s">
        <v>513</v>
      </c>
      <c r="E104" s="4" t="s">
        <v>549</v>
      </c>
      <c r="F104" s="4" t="s">
        <v>585</v>
      </c>
      <c r="G104" s="9">
        <v>1194</v>
      </c>
      <c r="H104" s="4">
        <v>1</v>
      </c>
      <c r="I104" s="9">
        <v>298</v>
      </c>
      <c r="J104" s="3">
        <f t="shared" si="1"/>
        <v>1194</v>
      </c>
      <c r="K104" t="s">
        <v>597</v>
      </c>
    </row>
    <row r="105" spans="1:11" x14ac:dyDescent="0.3">
      <c r="A105" s="4" t="s">
        <v>112</v>
      </c>
      <c r="B105" s="5">
        <v>45016</v>
      </c>
      <c r="C105" s="9" t="s">
        <v>510</v>
      </c>
      <c r="D105" s="4" t="s">
        <v>517</v>
      </c>
      <c r="E105" s="4" t="s">
        <v>559</v>
      </c>
      <c r="F105" s="4" t="s">
        <v>586</v>
      </c>
      <c r="G105" s="9">
        <v>967</v>
      </c>
      <c r="H105" s="4">
        <v>4</v>
      </c>
      <c r="I105" s="9">
        <v>225</v>
      </c>
      <c r="J105" s="3">
        <f t="shared" si="1"/>
        <v>3868</v>
      </c>
      <c r="K105" t="s">
        <v>598</v>
      </c>
    </row>
    <row r="106" spans="1:11" x14ac:dyDescent="0.3">
      <c r="A106" s="4" t="s">
        <v>113</v>
      </c>
      <c r="B106" s="5">
        <v>45178</v>
      </c>
      <c r="C106" s="9" t="s">
        <v>511</v>
      </c>
      <c r="D106" s="4" t="s">
        <v>527</v>
      </c>
      <c r="E106" s="4" t="s">
        <v>569</v>
      </c>
      <c r="F106" s="4" t="s">
        <v>584</v>
      </c>
      <c r="G106" s="9">
        <v>1939</v>
      </c>
      <c r="H106" s="4">
        <v>4</v>
      </c>
      <c r="I106" s="9">
        <v>231</v>
      </c>
      <c r="J106" s="3">
        <f t="shared" si="1"/>
        <v>7756</v>
      </c>
      <c r="K106" t="s">
        <v>599</v>
      </c>
    </row>
    <row r="107" spans="1:11" x14ac:dyDescent="0.3">
      <c r="A107" s="4" t="s">
        <v>114</v>
      </c>
      <c r="B107" s="5">
        <v>45095</v>
      </c>
      <c r="C107" s="9" t="s">
        <v>510</v>
      </c>
      <c r="D107" s="4" t="s">
        <v>528</v>
      </c>
      <c r="E107" s="4" t="s">
        <v>552</v>
      </c>
      <c r="F107" s="4" t="s">
        <v>586</v>
      </c>
      <c r="G107" s="9">
        <v>852</v>
      </c>
      <c r="H107" s="4">
        <v>4</v>
      </c>
      <c r="I107" s="9">
        <v>91</v>
      </c>
      <c r="J107" s="3">
        <f t="shared" si="1"/>
        <v>3408</v>
      </c>
      <c r="K107" t="s">
        <v>595</v>
      </c>
    </row>
    <row r="108" spans="1:11" x14ac:dyDescent="0.3">
      <c r="A108" s="4" t="s">
        <v>115</v>
      </c>
      <c r="B108" s="5">
        <v>44972</v>
      </c>
      <c r="C108" s="9" t="s">
        <v>512</v>
      </c>
      <c r="D108" s="4" t="s">
        <v>530</v>
      </c>
      <c r="E108" s="4" t="s">
        <v>568</v>
      </c>
      <c r="F108" s="4" t="s">
        <v>586</v>
      </c>
      <c r="G108" s="9">
        <v>663</v>
      </c>
      <c r="H108" s="4">
        <v>3</v>
      </c>
      <c r="I108" s="9">
        <v>48</v>
      </c>
      <c r="J108" s="3">
        <f t="shared" si="1"/>
        <v>1989</v>
      </c>
      <c r="K108" t="s">
        <v>592</v>
      </c>
    </row>
    <row r="109" spans="1:11" x14ac:dyDescent="0.3">
      <c r="A109" s="4" t="s">
        <v>116</v>
      </c>
      <c r="B109" s="5">
        <v>45204</v>
      </c>
      <c r="C109" s="9" t="s">
        <v>512</v>
      </c>
      <c r="D109" s="4" t="s">
        <v>530</v>
      </c>
      <c r="E109" s="4" t="s">
        <v>558</v>
      </c>
      <c r="F109" s="4" t="s">
        <v>586</v>
      </c>
      <c r="G109" s="9">
        <v>950</v>
      </c>
      <c r="H109" s="4">
        <v>1</v>
      </c>
      <c r="I109" s="9">
        <v>83</v>
      </c>
      <c r="J109" s="3">
        <f t="shared" si="1"/>
        <v>950</v>
      </c>
      <c r="K109" t="s">
        <v>597</v>
      </c>
    </row>
    <row r="110" spans="1:11" x14ac:dyDescent="0.3">
      <c r="A110" s="4" t="s">
        <v>117</v>
      </c>
      <c r="B110" s="5">
        <v>45153</v>
      </c>
      <c r="C110" s="9" t="s">
        <v>510</v>
      </c>
      <c r="D110" s="4" t="s">
        <v>517</v>
      </c>
      <c r="E110" s="4" t="s">
        <v>569</v>
      </c>
      <c r="F110" s="4" t="s">
        <v>584</v>
      </c>
      <c r="G110" s="9">
        <v>1531</v>
      </c>
      <c r="H110" s="4">
        <v>2</v>
      </c>
      <c r="I110" s="9">
        <v>158</v>
      </c>
      <c r="J110" s="3">
        <f t="shared" si="1"/>
        <v>3062</v>
      </c>
      <c r="K110" t="s">
        <v>591</v>
      </c>
    </row>
    <row r="111" spans="1:11" x14ac:dyDescent="0.3">
      <c r="A111" s="4" t="s">
        <v>118</v>
      </c>
      <c r="B111" s="5">
        <v>45175</v>
      </c>
      <c r="C111" s="9" t="s">
        <v>511</v>
      </c>
      <c r="D111" s="4" t="s">
        <v>529</v>
      </c>
      <c r="E111" s="4" t="s">
        <v>536</v>
      </c>
      <c r="F111" s="4" t="s">
        <v>584</v>
      </c>
      <c r="G111" s="9">
        <v>286</v>
      </c>
      <c r="H111" s="4">
        <v>5</v>
      </c>
      <c r="I111" s="9">
        <v>60</v>
      </c>
      <c r="J111" s="3">
        <f t="shared" si="1"/>
        <v>1430</v>
      </c>
      <c r="K111" t="s">
        <v>599</v>
      </c>
    </row>
    <row r="112" spans="1:11" x14ac:dyDescent="0.3">
      <c r="A112" s="4" t="s">
        <v>119</v>
      </c>
      <c r="B112" s="5">
        <v>45135</v>
      </c>
      <c r="C112" s="9" t="s">
        <v>511</v>
      </c>
      <c r="D112" s="4" t="s">
        <v>529</v>
      </c>
      <c r="E112" s="4" t="s">
        <v>561</v>
      </c>
      <c r="F112" s="4" t="s">
        <v>586</v>
      </c>
      <c r="G112" s="9">
        <v>231</v>
      </c>
      <c r="H112" s="4">
        <v>1</v>
      </c>
      <c r="I112" s="9">
        <v>32</v>
      </c>
      <c r="J112" s="3">
        <f t="shared" si="1"/>
        <v>231</v>
      </c>
      <c r="K112" t="s">
        <v>596</v>
      </c>
    </row>
    <row r="113" spans="1:11" x14ac:dyDescent="0.3">
      <c r="A113" s="4" t="s">
        <v>120</v>
      </c>
      <c r="B113" s="5">
        <v>45076</v>
      </c>
      <c r="C113" s="9" t="s">
        <v>509</v>
      </c>
      <c r="D113" s="4" t="s">
        <v>518</v>
      </c>
      <c r="E113" s="4" t="s">
        <v>535</v>
      </c>
      <c r="F113" s="4" t="s">
        <v>584</v>
      </c>
      <c r="G113" s="9">
        <v>1042</v>
      </c>
      <c r="H113" s="4">
        <v>3</v>
      </c>
      <c r="I113" s="9">
        <v>138</v>
      </c>
      <c r="J113" s="3">
        <f t="shared" si="1"/>
        <v>3126</v>
      </c>
      <c r="K113" t="s">
        <v>593</v>
      </c>
    </row>
    <row r="114" spans="1:11" x14ac:dyDescent="0.3">
      <c r="A114" s="4" t="s">
        <v>121</v>
      </c>
      <c r="B114" s="5">
        <v>45209</v>
      </c>
      <c r="C114" s="9" t="s">
        <v>512</v>
      </c>
      <c r="D114" s="4" t="s">
        <v>521</v>
      </c>
      <c r="E114" s="4" t="s">
        <v>568</v>
      </c>
      <c r="F114" s="4" t="s">
        <v>585</v>
      </c>
      <c r="G114" s="9">
        <v>332</v>
      </c>
      <c r="H114" s="4">
        <v>2</v>
      </c>
      <c r="I114" s="9">
        <v>77</v>
      </c>
      <c r="J114" s="3">
        <f t="shared" si="1"/>
        <v>664</v>
      </c>
      <c r="K114" t="s">
        <v>597</v>
      </c>
    </row>
    <row r="115" spans="1:11" x14ac:dyDescent="0.3">
      <c r="A115" s="4" t="s">
        <v>122</v>
      </c>
      <c r="B115" s="5">
        <v>45139</v>
      </c>
      <c r="C115" s="9" t="s">
        <v>511</v>
      </c>
      <c r="D115" s="4" t="s">
        <v>524</v>
      </c>
      <c r="E115" s="4" t="s">
        <v>542</v>
      </c>
      <c r="F115" s="4" t="s">
        <v>583</v>
      </c>
      <c r="G115" s="9">
        <v>712</v>
      </c>
      <c r="H115" s="4">
        <v>5</v>
      </c>
      <c r="I115" s="9">
        <v>73</v>
      </c>
      <c r="J115" s="3">
        <f t="shared" si="1"/>
        <v>3560</v>
      </c>
      <c r="K115" t="s">
        <v>591</v>
      </c>
    </row>
    <row r="116" spans="1:11" x14ac:dyDescent="0.3">
      <c r="A116" s="4" t="s">
        <v>123</v>
      </c>
      <c r="B116" s="5">
        <v>45223</v>
      </c>
      <c r="C116" s="9" t="s">
        <v>509</v>
      </c>
      <c r="D116" s="4" t="s">
        <v>526</v>
      </c>
      <c r="E116" s="4" t="s">
        <v>539</v>
      </c>
      <c r="F116" s="4" t="s">
        <v>583</v>
      </c>
      <c r="G116" s="9">
        <v>1997</v>
      </c>
      <c r="H116" s="4">
        <v>4</v>
      </c>
      <c r="I116" s="9">
        <v>445</v>
      </c>
      <c r="J116" s="3">
        <f t="shared" si="1"/>
        <v>7988</v>
      </c>
      <c r="K116" t="s">
        <v>597</v>
      </c>
    </row>
    <row r="117" spans="1:11" x14ac:dyDescent="0.3">
      <c r="A117" s="4" t="s">
        <v>124</v>
      </c>
      <c r="B117" s="5">
        <v>45097</v>
      </c>
      <c r="C117" s="9" t="s">
        <v>512</v>
      </c>
      <c r="D117" s="4" t="s">
        <v>530</v>
      </c>
      <c r="E117" s="4" t="s">
        <v>571</v>
      </c>
      <c r="F117" s="4" t="s">
        <v>584</v>
      </c>
      <c r="G117" s="9">
        <v>1126</v>
      </c>
      <c r="H117" s="4">
        <v>5</v>
      </c>
      <c r="I117" s="9">
        <v>141</v>
      </c>
      <c r="J117" s="3">
        <f t="shared" si="1"/>
        <v>5630</v>
      </c>
      <c r="K117" t="s">
        <v>595</v>
      </c>
    </row>
    <row r="118" spans="1:11" x14ac:dyDescent="0.3">
      <c r="A118" s="4" t="s">
        <v>125</v>
      </c>
      <c r="B118" s="5">
        <v>45123</v>
      </c>
      <c r="C118" s="9" t="s">
        <v>510</v>
      </c>
      <c r="D118" s="4" t="s">
        <v>519</v>
      </c>
      <c r="E118" s="4" t="s">
        <v>574</v>
      </c>
      <c r="F118" s="4" t="s">
        <v>585</v>
      </c>
      <c r="G118" s="9">
        <v>505</v>
      </c>
      <c r="H118" s="4">
        <v>4</v>
      </c>
      <c r="I118" s="9">
        <v>29</v>
      </c>
      <c r="J118" s="3">
        <f t="shared" si="1"/>
        <v>2020</v>
      </c>
      <c r="K118" t="s">
        <v>596</v>
      </c>
    </row>
    <row r="119" spans="1:11" x14ac:dyDescent="0.3">
      <c r="A119" s="4" t="s">
        <v>126</v>
      </c>
      <c r="B119" s="5">
        <v>45260</v>
      </c>
      <c r="C119" s="9" t="s">
        <v>512</v>
      </c>
      <c r="D119" s="4" t="s">
        <v>521</v>
      </c>
      <c r="E119" s="4" t="s">
        <v>558</v>
      </c>
      <c r="F119" s="4" t="s">
        <v>584</v>
      </c>
      <c r="G119" s="9">
        <v>1962</v>
      </c>
      <c r="H119" s="4">
        <v>4</v>
      </c>
      <c r="I119" s="9">
        <v>476</v>
      </c>
      <c r="J119" s="3">
        <f t="shared" si="1"/>
        <v>7848</v>
      </c>
      <c r="K119" t="s">
        <v>590</v>
      </c>
    </row>
    <row r="120" spans="1:11" x14ac:dyDescent="0.3">
      <c r="A120" s="4" t="s">
        <v>127</v>
      </c>
      <c r="B120" s="5">
        <v>45152</v>
      </c>
      <c r="C120" s="9" t="s">
        <v>511</v>
      </c>
      <c r="D120" s="4" t="s">
        <v>527</v>
      </c>
      <c r="E120" s="4" t="s">
        <v>578</v>
      </c>
      <c r="F120" s="4" t="s">
        <v>583</v>
      </c>
      <c r="G120" s="9">
        <v>244</v>
      </c>
      <c r="H120" s="4">
        <v>4</v>
      </c>
      <c r="I120" s="9">
        <v>12</v>
      </c>
      <c r="J120" s="3">
        <f t="shared" si="1"/>
        <v>976</v>
      </c>
      <c r="K120" t="s">
        <v>591</v>
      </c>
    </row>
    <row r="121" spans="1:11" x14ac:dyDescent="0.3">
      <c r="A121" s="4" t="s">
        <v>128</v>
      </c>
      <c r="B121" s="5">
        <v>45167</v>
      </c>
      <c r="C121" s="9" t="s">
        <v>511</v>
      </c>
      <c r="D121" s="4" t="s">
        <v>531</v>
      </c>
      <c r="E121" s="4" t="s">
        <v>551</v>
      </c>
      <c r="F121" s="4" t="s">
        <v>585</v>
      </c>
      <c r="G121" s="9">
        <v>1573</v>
      </c>
      <c r="H121" s="4">
        <v>3</v>
      </c>
      <c r="I121" s="9">
        <v>185</v>
      </c>
      <c r="J121" s="3">
        <f t="shared" si="1"/>
        <v>4719</v>
      </c>
      <c r="K121" t="s">
        <v>591</v>
      </c>
    </row>
    <row r="122" spans="1:11" x14ac:dyDescent="0.3">
      <c r="A122" s="4" t="s">
        <v>129</v>
      </c>
      <c r="B122" s="5">
        <v>45200</v>
      </c>
      <c r="C122" s="9" t="s">
        <v>512</v>
      </c>
      <c r="D122" s="4" t="s">
        <v>522</v>
      </c>
      <c r="E122" s="4" t="s">
        <v>549</v>
      </c>
      <c r="F122" s="4" t="s">
        <v>583</v>
      </c>
      <c r="G122" s="9">
        <v>791</v>
      </c>
      <c r="H122" s="4">
        <v>3</v>
      </c>
      <c r="I122" s="9">
        <v>138</v>
      </c>
      <c r="J122" s="3">
        <f t="shared" si="1"/>
        <v>2373</v>
      </c>
      <c r="K122" t="s">
        <v>597</v>
      </c>
    </row>
    <row r="123" spans="1:11" x14ac:dyDescent="0.3">
      <c r="A123" s="4" t="s">
        <v>130</v>
      </c>
      <c r="B123" s="5">
        <v>44962</v>
      </c>
      <c r="C123" s="9" t="s">
        <v>512</v>
      </c>
      <c r="D123" s="4" t="s">
        <v>530</v>
      </c>
      <c r="E123" s="4" t="s">
        <v>557</v>
      </c>
      <c r="F123" s="4" t="s">
        <v>586</v>
      </c>
      <c r="G123" s="9">
        <v>507</v>
      </c>
      <c r="H123" s="4">
        <v>3</v>
      </c>
      <c r="I123" s="9">
        <v>126</v>
      </c>
      <c r="J123" s="3">
        <f t="shared" si="1"/>
        <v>1521</v>
      </c>
      <c r="K123" t="s">
        <v>592</v>
      </c>
    </row>
    <row r="124" spans="1:11" x14ac:dyDescent="0.3">
      <c r="A124" s="4" t="s">
        <v>131</v>
      </c>
      <c r="B124" s="5">
        <v>45251</v>
      </c>
      <c r="C124" s="9" t="s">
        <v>509</v>
      </c>
      <c r="D124" s="4" t="s">
        <v>516</v>
      </c>
      <c r="E124" s="4" t="s">
        <v>559</v>
      </c>
      <c r="F124" s="4" t="s">
        <v>586</v>
      </c>
      <c r="G124" s="9">
        <v>1422</v>
      </c>
      <c r="H124" s="4">
        <v>1</v>
      </c>
      <c r="I124" s="9">
        <v>197</v>
      </c>
      <c r="J124" s="3">
        <f t="shared" si="1"/>
        <v>1422</v>
      </c>
      <c r="K124" t="s">
        <v>590</v>
      </c>
    </row>
    <row r="125" spans="1:11" x14ac:dyDescent="0.3">
      <c r="A125" s="4" t="s">
        <v>132</v>
      </c>
      <c r="B125" s="5">
        <v>44955</v>
      </c>
      <c r="C125" s="9" t="s">
        <v>510</v>
      </c>
      <c r="D125" s="4" t="s">
        <v>515</v>
      </c>
      <c r="E125" s="4" t="s">
        <v>570</v>
      </c>
      <c r="F125" s="4" t="s">
        <v>586</v>
      </c>
      <c r="G125" s="9">
        <v>622</v>
      </c>
      <c r="H125" s="4">
        <v>3</v>
      </c>
      <c r="I125" s="9">
        <v>84</v>
      </c>
      <c r="J125" s="3">
        <f t="shared" si="1"/>
        <v>1866</v>
      </c>
      <c r="K125" t="s">
        <v>589</v>
      </c>
    </row>
    <row r="126" spans="1:11" x14ac:dyDescent="0.3">
      <c r="A126" s="4" t="s">
        <v>133</v>
      </c>
      <c r="B126" s="5">
        <v>45276</v>
      </c>
      <c r="C126" s="9" t="s">
        <v>511</v>
      </c>
      <c r="D126" s="4" t="s">
        <v>527</v>
      </c>
      <c r="E126" s="4" t="s">
        <v>574</v>
      </c>
      <c r="F126" s="4" t="s">
        <v>584</v>
      </c>
      <c r="G126" s="9">
        <v>1595</v>
      </c>
      <c r="H126" s="4">
        <v>2</v>
      </c>
      <c r="I126" s="9">
        <v>135</v>
      </c>
      <c r="J126" s="3">
        <f t="shared" si="1"/>
        <v>3190</v>
      </c>
      <c r="K126" t="s">
        <v>594</v>
      </c>
    </row>
    <row r="127" spans="1:11" x14ac:dyDescent="0.3">
      <c r="A127" s="4" t="s">
        <v>134</v>
      </c>
      <c r="B127" s="5">
        <v>45225</v>
      </c>
      <c r="C127" s="9" t="s">
        <v>512</v>
      </c>
      <c r="D127" s="4" t="s">
        <v>530</v>
      </c>
      <c r="E127" s="4" t="s">
        <v>544</v>
      </c>
      <c r="F127" s="4" t="s">
        <v>585</v>
      </c>
      <c r="G127" s="9">
        <v>329</v>
      </c>
      <c r="H127" s="4">
        <v>4</v>
      </c>
      <c r="I127" s="9">
        <v>58</v>
      </c>
      <c r="J127" s="3">
        <f t="shared" si="1"/>
        <v>1316</v>
      </c>
      <c r="K127" t="s">
        <v>597</v>
      </c>
    </row>
    <row r="128" spans="1:11" x14ac:dyDescent="0.3">
      <c r="A128" s="4" t="s">
        <v>135</v>
      </c>
      <c r="B128" s="5">
        <v>45074</v>
      </c>
      <c r="C128" s="9" t="s">
        <v>512</v>
      </c>
      <c r="D128" s="4" t="s">
        <v>532</v>
      </c>
      <c r="E128" s="4" t="s">
        <v>568</v>
      </c>
      <c r="F128" s="4" t="s">
        <v>586</v>
      </c>
      <c r="G128" s="9">
        <v>1371</v>
      </c>
      <c r="H128" s="4">
        <v>2</v>
      </c>
      <c r="I128" s="9">
        <v>88</v>
      </c>
      <c r="J128" s="3">
        <f t="shared" si="1"/>
        <v>2742</v>
      </c>
      <c r="K128" t="s">
        <v>593</v>
      </c>
    </row>
    <row r="129" spans="1:11" x14ac:dyDescent="0.3">
      <c r="A129" s="4" t="s">
        <v>136</v>
      </c>
      <c r="B129" s="5">
        <v>45144</v>
      </c>
      <c r="C129" s="9" t="s">
        <v>510</v>
      </c>
      <c r="D129" s="4" t="s">
        <v>517</v>
      </c>
      <c r="E129" s="4" t="s">
        <v>569</v>
      </c>
      <c r="F129" s="4" t="s">
        <v>583</v>
      </c>
      <c r="G129" s="9">
        <v>1396</v>
      </c>
      <c r="H129" s="4">
        <v>4</v>
      </c>
      <c r="I129" s="9">
        <v>305</v>
      </c>
      <c r="J129" s="3">
        <f t="shared" si="1"/>
        <v>5584</v>
      </c>
      <c r="K129" t="s">
        <v>591</v>
      </c>
    </row>
    <row r="130" spans="1:11" x14ac:dyDescent="0.3">
      <c r="A130" s="4" t="s">
        <v>137</v>
      </c>
      <c r="B130" s="5">
        <v>45048</v>
      </c>
      <c r="C130" s="9" t="s">
        <v>511</v>
      </c>
      <c r="D130" s="4" t="s">
        <v>531</v>
      </c>
      <c r="E130" s="4" t="s">
        <v>578</v>
      </c>
      <c r="F130" s="4" t="s">
        <v>584</v>
      </c>
      <c r="G130" s="9">
        <v>793</v>
      </c>
      <c r="H130" s="4">
        <v>3</v>
      </c>
      <c r="I130" s="9">
        <v>130</v>
      </c>
      <c r="J130" s="3">
        <f t="shared" si="1"/>
        <v>2379</v>
      </c>
      <c r="K130" t="s">
        <v>593</v>
      </c>
    </row>
    <row r="131" spans="1:11" x14ac:dyDescent="0.3">
      <c r="A131" s="4" t="s">
        <v>138</v>
      </c>
      <c r="B131" s="5">
        <v>44931</v>
      </c>
      <c r="C131" s="9" t="s">
        <v>510</v>
      </c>
      <c r="D131" s="4" t="s">
        <v>515</v>
      </c>
      <c r="E131" s="4" t="s">
        <v>547</v>
      </c>
      <c r="F131" s="4" t="s">
        <v>584</v>
      </c>
      <c r="G131" s="9">
        <v>1153</v>
      </c>
      <c r="H131" s="4">
        <v>1</v>
      </c>
      <c r="I131" s="9">
        <v>267</v>
      </c>
      <c r="J131" s="3">
        <f t="shared" ref="J131:J194" si="2">H131*G131</f>
        <v>1153</v>
      </c>
      <c r="K131" t="s">
        <v>589</v>
      </c>
    </row>
    <row r="132" spans="1:11" x14ac:dyDescent="0.3">
      <c r="A132" s="4" t="s">
        <v>139</v>
      </c>
      <c r="B132" s="5">
        <v>45107</v>
      </c>
      <c r="C132" s="9" t="s">
        <v>512</v>
      </c>
      <c r="D132" s="4" t="s">
        <v>532</v>
      </c>
      <c r="E132" s="4" t="s">
        <v>556</v>
      </c>
      <c r="F132" s="4" t="s">
        <v>585</v>
      </c>
      <c r="G132" s="9">
        <v>477</v>
      </c>
      <c r="H132" s="4">
        <v>2</v>
      </c>
      <c r="I132" s="9">
        <v>83</v>
      </c>
      <c r="J132" s="3">
        <f t="shared" si="2"/>
        <v>954</v>
      </c>
      <c r="K132" t="s">
        <v>595</v>
      </c>
    </row>
    <row r="133" spans="1:11" x14ac:dyDescent="0.3">
      <c r="A133" s="4" t="s">
        <v>140</v>
      </c>
      <c r="B133" s="5">
        <v>45152</v>
      </c>
      <c r="C133" s="9" t="s">
        <v>511</v>
      </c>
      <c r="D133" s="4" t="s">
        <v>524</v>
      </c>
      <c r="E133" s="4" t="s">
        <v>579</v>
      </c>
      <c r="F133" s="4" t="s">
        <v>586</v>
      </c>
      <c r="G133" s="9">
        <v>115</v>
      </c>
      <c r="H133" s="4">
        <v>3</v>
      </c>
      <c r="I133" s="9">
        <v>22</v>
      </c>
      <c r="J133" s="3">
        <f t="shared" si="2"/>
        <v>345</v>
      </c>
      <c r="K133" t="s">
        <v>591</v>
      </c>
    </row>
    <row r="134" spans="1:11" x14ac:dyDescent="0.3">
      <c r="A134" s="4" t="s">
        <v>141</v>
      </c>
      <c r="B134" s="5">
        <v>45139</v>
      </c>
      <c r="C134" s="9" t="s">
        <v>509</v>
      </c>
      <c r="D134" s="4" t="s">
        <v>526</v>
      </c>
      <c r="E134" s="4" t="s">
        <v>573</v>
      </c>
      <c r="F134" s="4" t="s">
        <v>583</v>
      </c>
      <c r="G134" s="9">
        <v>392</v>
      </c>
      <c r="H134" s="4">
        <v>2</v>
      </c>
      <c r="I134" s="9">
        <v>81</v>
      </c>
      <c r="J134" s="3">
        <f t="shared" si="2"/>
        <v>784</v>
      </c>
      <c r="K134" t="s">
        <v>591</v>
      </c>
    </row>
    <row r="135" spans="1:11" x14ac:dyDescent="0.3">
      <c r="A135" s="4" t="s">
        <v>142</v>
      </c>
      <c r="B135" s="5">
        <v>45058</v>
      </c>
      <c r="C135" s="9" t="s">
        <v>510</v>
      </c>
      <c r="D135" s="4" t="s">
        <v>517</v>
      </c>
      <c r="E135" s="4" t="s">
        <v>552</v>
      </c>
      <c r="F135" s="4" t="s">
        <v>583</v>
      </c>
      <c r="G135" s="9">
        <v>1832</v>
      </c>
      <c r="H135" s="4">
        <v>4</v>
      </c>
      <c r="I135" s="9">
        <v>446</v>
      </c>
      <c r="J135" s="3">
        <f t="shared" si="2"/>
        <v>7328</v>
      </c>
      <c r="K135" t="s">
        <v>593</v>
      </c>
    </row>
    <row r="136" spans="1:11" x14ac:dyDescent="0.3">
      <c r="A136" s="4" t="s">
        <v>143</v>
      </c>
      <c r="B136" s="5">
        <v>44965</v>
      </c>
      <c r="C136" s="9" t="s">
        <v>510</v>
      </c>
      <c r="D136" s="4" t="s">
        <v>528</v>
      </c>
      <c r="E136" s="4" t="s">
        <v>568</v>
      </c>
      <c r="F136" s="4" t="s">
        <v>586</v>
      </c>
      <c r="G136" s="9">
        <v>324</v>
      </c>
      <c r="H136" s="4">
        <v>2</v>
      </c>
      <c r="I136" s="9">
        <v>72</v>
      </c>
      <c r="J136" s="3">
        <f t="shared" si="2"/>
        <v>648</v>
      </c>
      <c r="K136" t="s">
        <v>592</v>
      </c>
    </row>
    <row r="137" spans="1:11" x14ac:dyDescent="0.3">
      <c r="A137" s="4" t="s">
        <v>144</v>
      </c>
      <c r="B137" s="5">
        <v>45129</v>
      </c>
      <c r="C137" s="9" t="s">
        <v>512</v>
      </c>
      <c r="D137" s="4" t="s">
        <v>530</v>
      </c>
      <c r="E137" s="4" t="s">
        <v>566</v>
      </c>
      <c r="F137" s="4" t="s">
        <v>583</v>
      </c>
      <c r="G137" s="9">
        <v>77</v>
      </c>
      <c r="H137" s="4">
        <v>5</v>
      </c>
      <c r="I137" s="9">
        <v>5</v>
      </c>
      <c r="J137" s="3">
        <f t="shared" si="2"/>
        <v>385</v>
      </c>
      <c r="K137" t="s">
        <v>596</v>
      </c>
    </row>
    <row r="138" spans="1:11" x14ac:dyDescent="0.3">
      <c r="A138" s="4" t="s">
        <v>145</v>
      </c>
      <c r="B138" s="5">
        <v>45117</v>
      </c>
      <c r="C138" s="9" t="s">
        <v>510</v>
      </c>
      <c r="D138" s="4" t="s">
        <v>528</v>
      </c>
      <c r="E138" s="4" t="s">
        <v>569</v>
      </c>
      <c r="F138" s="4" t="s">
        <v>584</v>
      </c>
      <c r="G138" s="9">
        <v>261</v>
      </c>
      <c r="H138" s="4">
        <v>2</v>
      </c>
      <c r="I138" s="9">
        <v>37</v>
      </c>
      <c r="J138" s="3">
        <f t="shared" si="2"/>
        <v>522</v>
      </c>
      <c r="K138" t="s">
        <v>596</v>
      </c>
    </row>
    <row r="139" spans="1:11" x14ac:dyDescent="0.3">
      <c r="A139" s="4" t="s">
        <v>146</v>
      </c>
      <c r="B139" s="5">
        <v>44959</v>
      </c>
      <c r="C139" s="9" t="s">
        <v>510</v>
      </c>
      <c r="D139" s="4" t="s">
        <v>517</v>
      </c>
      <c r="E139" s="4" t="s">
        <v>580</v>
      </c>
      <c r="F139" s="4" t="s">
        <v>585</v>
      </c>
      <c r="G139" s="9">
        <v>1289</v>
      </c>
      <c r="H139" s="4">
        <v>4</v>
      </c>
      <c r="I139" s="9">
        <v>298</v>
      </c>
      <c r="J139" s="3">
        <f t="shared" si="2"/>
        <v>5156</v>
      </c>
      <c r="K139" t="s">
        <v>592</v>
      </c>
    </row>
    <row r="140" spans="1:11" x14ac:dyDescent="0.3">
      <c r="A140" s="4" t="s">
        <v>147</v>
      </c>
      <c r="B140" s="5">
        <v>44950</v>
      </c>
      <c r="C140" s="9" t="s">
        <v>510</v>
      </c>
      <c r="D140" s="4" t="s">
        <v>525</v>
      </c>
      <c r="E140" s="4" t="s">
        <v>545</v>
      </c>
      <c r="F140" s="4" t="s">
        <v>586</v>
      </c>
      <c r="G140" s="9">
        <v>1895</v>
      </c>
      <c r="H140" s="4">
        <v>3</v>
      </c>
      <c r="I140" s="9">
        <v>472</v>
      </c>
      <c r="J140" s="3">
        <f t="shared" si="2"/>
        <v>5685</v>
      </c>
      <c r="K140" t="s">
        <v>589</v>
      </c>
    </row>
    <row r="141" spans="1:11" x14ac:dyDescent="0.3">
      <c r="A141" s="4" t="s">
        <v>148</v>
      </c>
      <c r="B141" s="5">
        <v>44996</v>
      </c>
      <c r="C141" s="9" t="s">
        <v>509</v>
      </c>
      <c r="D141" s="4" t="s">
        <v>513</v>
      </c>
      <c r="E141" s="4" t="s">
        <v>581</v>
      </c>
      <c r="F141" s="4" t="s">
        <v>585</v>
      </c>
      <c r="G141" s="9">
        <v>807</v>
      </c>
      <c r="H141" s="4">
        <v>3</v>
      </c>
      <c r="I141" s="9">
        <v>148</v>
      </c>
      <c r="J141" s="3">
        <f t="shared" si="2"/>
        <v>2421</v>
      </c>
      <c r="K141" t="s">
        <v>598</v>
      </c>
    </row>
    <row r="142" spans="1:11" x14ac:dyDescent="0.3">
      <c r="A142" s="4" t="s">
        <v>149</v>
      </c>
      <c r="B142" s="5">
        <v>45262</v>
      </c>
      <c r="C142" s="9" t="s">
        <v>512</v>
      </c>
      <c r="D142" s="4" t="s">
        <v>530</v>
      </c>
      <c r="E142" s="4" t="s">
        <v>548</v>
      </c>
      <c r="F142" s="4" t="s">
        <v>585</v>
      </c>
      <c r="G142" s="9">
        <v>243</v>
      </c>
      <c r="H142" s="4">
        <v>4</v>
      </c>
      <c r="I142" s="9">
        <v>42</v>
      </c>
      <c r="J142" s="3">
        <f t="shared" si="2"/>
        <v>972</v>
      </c>
      <c r="K142" t="s">
        <v>594</v>
      </c>
    </row>
    <row r="143" spans="1:11" x14ac:dyDescent="0.3">
      <c r="A143" s="4" t="s">
        <v>150</v>
      </c>
      <c r="B143" s="5">
        <v>45154</v>
      </c>
      <c r="C143" s="9" t="s">
        <v>510</v>
      </c>
      <c r="D143" s="4" t="s">
        <v>515</v>
      </c>
      <c r="E143" s="4" t="s">
        <v>565</v>
      </c>
      <c r="F143" s="4" t="s">
        <v>583</v>
      </c>
      <c r="G143" s="9">
        <v>917</v>
      </c>
      <c r="H143" s="4">
        <v>2</v>
      </c>
      <c r="I143" s="9">
        <v>202</v>
      </c>
      <c r="J143" s="3">
        <f t="shared" si="2"/>
        <v>1834</v>
      </c>
      <c r="K143" t="s">
        <v>591</v>
      </c>
    </row>
    <row r="144" spans="1:11" x14ac:dyDescent="0.3">
      <c r="A144" s="4" t="s">
        <v>151</v>
      </c>
      <c r="B144" s="5">
        <v>45130</v>
      </c>
      <c r="C144" s="9" t="s">
        <v>509</v>
      </c>
      <c r="D144" s="4" t="s">
        <v>526</v>
      </c>
      <c r="E144" s="4" t="s">
        <v>555</v>
      </c>
      <c r="F144" s="4" t="s">
        <v>583</v>
      </c>
      <c r="G144" s="9">
        <v>587</v>
      </c>
      <c r="H144" s="4">
        <v>1</v>
      </c>
      <c r="I144" s="9">
        <v>141</v>
      </c>
      <c r="J144" s="3">
        <f t="shared" si="2"/>
        <v>587</v>
      </c>
      <c r="K144" t="s">
        <v>596</v>
      </c>
    </row>
    <row r="145" spans="1:11" x14ac:dyDescent="0.3">
      <c r="A145" s="4" t="s">
        <v>152</v>
      </c>
      <c r="B145" s="5">
        <v>45254</v>
      </c>
      <c r="C145" s="9" t="s">
        <v>512</v>
      </c>
      <c r="D145" s="4" t="s">
        <v>522</v>
      </c>
      <c r="E145" s="4" t="s">
        <v>580</v>
      </c>
      <c r="F145" s="4" t="s">
        <v>585</v>
      </c>
      <c r="G145" s="9">
        <v>1214</v>
      </c>
      <c r="H145" s="4">
        <v>1</v>
      </c>
      <c r="I145" s="9">
        <v>73</v>
      </c>
      <c r="J145" s="3">
        <f t="shared" si="2"/>
        <v>1214</v>
      </c>
      <c r="K145" t="s">
        <v>590</v>
      </c>
    </row>
    <row r="146" spans="1:11" x14ac:dyDescent="0.3">
      <c r="A146" s="4" t="s">
        <v>153</v>
      </c>
      <c r="B146" s="5">
        <v>45032</v>
      </c>
      <c r="C146" s="9" t="s">
        <v>510</v>
      </c>
      <c r="D146" s="4" t="s">
        <v>519</v>
      </c>
      <c r="E146" s="4" t="s">
        <v>574</v>
      </c>
      <c r="F146" s="4" t="s">
        <v>585</v>
      </c>
      <c r="G146" s="9">
        <v>183</v>
      </c>
      <c r="H146" s="4">
        <v>5</v>
      </c>
      <c r="I146" s="9">
        <v>16</v>
      </c>
      <c r="J146" s="3">
        <f t="shared" si="2"/>
        <v>915</v>
      </c>
      <c r="K146" t="s">
        <v>588</v>
      </c>
    </row>
    <row r="147" spans="1:11" x14ac:dyDescent="0.3">
      <c r="A147" s="4" t="s">
        <v>154</v>
      </c>
      <c r="B147" s="5">
        <v>45002</v>
      </c>
      <c r="C147" s="9" t="s">
        <v>511</v>
      </c>
      <c r="D147" s="4" t="s">
        <v>520</v>
      </c>
      <c r="E147" s="4" t="s">
        <v>542</v>
      </c>
      <c r="F147" s="4" t="s">
        <v>583</v>
      </c>
      <c r="G147" s="9">
        <v>1587</v>
      </c>
      <c r="H147" s="4">
        <v>5</v>
      </c>
      <c r="I147" s="9">
        <v>80</v>
      </c>
      <c r="J147" s="3">
        <f t="shared" si="2"/>
        <v>7935</v>
      </c>
      <c r="K147" t="s">
        <v>598</v>
      </c>
    </row>
    <row r="148" spans="1:11" x14ac:dyDescent="0.3">
      <c r="A148" s="4" t="s">
        <v>155</v>
      </c>
      <c r="B148" s="5">
        <v>44983</v>
      </c>
      <c r="C148" s="9" t="s">
        <v>511</v>
      </c>
      <c r="D148" s="4" t="s">
        <v>520</v>
      </c>
      <c r="E148" s="4" t="s">
        <v>567</v>
      </c>
      <c r="F148" s="4" t="s">
        <v>583</v>
      </c>
      <c r="G148" s="9">
        <v>1339</v>
      </c>
      <c r="H148" s="4">
        <v>1</v>
      </c>
      <c r="I148" s="9">
        <v>102</v>
      </c>
      <c r="J148" s="3">
        <f t="shared" si="2"/>
        <v>1339</v>
      </c>
      <c r="K148" t="s">
        <v>592</v>
      </c>
    </row>
    <row r="149" spans="1:11" x14ac:dyDescent="0.3">
      <c r="A149" s="4" t="s">
        <v>156</v>
      </c>
      <c r="B149" s="5">
        <v>45016</v>
      </c>
      <c r="C149" s="9" t="s">
        <v>510</v>
      </c>
      <c r="D149" s="4" t="s">
        <v>519</v>
      </c>
      <c r="E149" s="4" t="s">
        <v>582</v>
      </c>
      <c r="F149" s="4" t="s">
        <v>583</v>
      </c>
      <c r="G149" s="9">
        <v>567</v>
      </c>
      <c r="H149" s="4">
        <v>2</v>
      </c>
      <c r="I149" s="9">
        <v>112</v>
      </c>
      <c r="J149" s="3">
        <f t="shared" si="2"/>
        <v>1134</v>
      </c>
      <c r="K149" t="s">
        <v>598</v>
      </c>
    </row>
    <row r="150" spans="1:11" x14ac:dyDescent="0.3">
      <c r="A150" s="4" t="s">
        <v>157</v>
      </c>
      <c r="B150" s="5">
        <v>45112</v>
      </c>
      <c r="C150" s="9" t="s">
        <v>509</v>
      </c>
      <c r="D150" s="4" t="s">
        <v>513</v>
      </c>
      <c r="E150" s="4" t="s">
        <v>576</v>
      </c>
      <c r="F150" s="4" t="s">
        <v>584</v>
      </c>
      <c r="G150" s="9">
        <v>1050</v>
      </c>
      <c r="H150" s="4">
        <v>1</v>
      </c>
      <c r="I150" s="9">
        <v>147</v>
      </c>
      <c r="J150" s="3">
        <f t="shared" si="2"/>
        <v>1050</v>
      </c>
      <c r="K150" t="s">
        <v>596</v>
      </c>
    </row>
    <row r="151" spans="1:11" x14ac:dyDescent="0.3">
      <c r="A151" s="4" t="s">
        <v>158</v>
      </c>
      <c r="B151" s="5">
        <v>45264</v>
      </c>
      <c r="C151" s="9" t="s">
        <v>511</v>
      </c>
      <c r="D151" s="4" t="s">
        <v>527</v>
      </c>
      <c r="E151" s="4" t="s">
        <v>575</v>
      </c>
      <c r="F151" s="4" t="s">
        <v>586</v>
      </c>
      <c r="G151" s="9">
        <v>1066</v>
      </c>
      <c r="H151" s="4">
        <v>4</v>
      </c>
      <c r="I151" s="9">
        <v>190</v>
      </c>
      <c r="J151" s="3">
        <f t="shared" si="2"/>
        <v>4264</v>
      </c>
      <c r="K151" t="s">
        <v>594</v>
      </c>
    </row>
    <row r="152" spans="1:11" x14ac:dyDescent="0.3">
      <c r="A152" s="4" t="s">
        <v>159</v>
      </c>
      <c r="B152" s="5">
        <v>45145</v>
      </c>
      <c r="C152" s="9" t="s">
        <v>509</v>
      </c>
      <c r="D152" s="4" t="s">
        <v>513</v>
      </c>
      <c r="E152" s="4" t="s">
        <v>538</v>
      </c>
      <c r="F152" s="4" t="s">
        <v>584</v>
      </c>
      <c r="G152" s="9">
        <v>1387</v>
      </c>
      <c r="H152" s="4">
        <v>4</v>
      </c>
      <c r="I152" s="9">
        <v>267</v>
      </c>
      <c r="J152" s="3">
        <f t="shared" si="2"/>
        <v>5548</v>
      </c>
      <c r="K152" t="s">
        <v>591</v>
      </c>
    </row>
    <row r="153" spans="1:11" x14ac:dyDescent="0.3">
      <c r="A153" s="4" t="s">
        <v>160</v>
      </c>
      <c r="B153" s="5">
        <v>45238</v>
      </c>
      <c r="C153" s="9" t="s">
        <v>512</v>
      </c>
      <c r="D153" s="4" t="s">
        <v>522</v>
      </c>
      <c r="E153" s="4" t="s">
        <v>570</v>
      </c>
      <c r="F153" s="4" t="s">
        <v>586</v>
      </c>
      <c r="G153" s="9">
        <v>339</v>
      </c>
      <c r="H153" s="4">
        <v>2</v>
      </c>
      <c r="I153" s="9">
        <v>35</v>
      </c>
      <c r="J153" s="3">
        <f t="shared" si="2"/>
        <v>678</v>
      </c>
      <c r="K153" t="s">
        <v>590</v>
      </c>
    </row>
    <row r="154" spans="1:11" x14ac:dyDescent="0.3">
      <c r="A154" s="4" t="s">
        <v>161</v>
      </c>
      <c r="B154" s="5">
        <v>45185</v>
      </c>
      <c r="C154" s="9" t="s">
        <v>510</v>
      </c>
      <c r="D154" s="4" t="s">
        <v>525</v>
      </c>
      <c r="E154" s="4" t="s">
        <v>568</v>
      </c>
      <c r="F154" s="4" t="s">
        <v>583</v>
      </c>
      <c r="G154" s="9">
        <v>1230</v>
      </c>
      <c r="H154" s="4">
        <v>1</v>
      </c>
      <c r="I154" s="9">
        <v>256</v>
      </c>
      <c r="J154" s="3">
        <f t="shared" si="2"/>
        <v>1230</v>
      </c>
      <c r="K154" t="s">
        <v>599</v>
      </c>
    </row>
    <row r="155" spans="1:11" x14ac:dyDescent="0.3">
      <c r="A155" s="4" t="s">
        <v>162</v>
      </c>
      <c r="B155" s="5">
        <v>45158</v>
      </c>
      <c r="C155" s="9" t="s">
        <v>509</v>
      </c>
      <c r="D155" s="4" t="s">
        <v>514</v>
      </c>
      <c r="E155" s="4" t="s">
        <v>562</v>
      </c>
      <c r="F155" s="4" t="s">
        <v>585</v>
      </c>
      <c r="G155" s="9">
        <v>1781</v>
      </c>
      <c r="H155" s="4">
        <v>4</v>
      </c>
      <c r="I155" s="9">
        <v>209</v>
      </c>
      <c r="J155" s="3">
        <f t="shared" si="2"/>
        <v>7124</v>
      </c>
      <c r="K155" t="s">
        <v>591</v>
      </c>
    </row>
    <row r="156" spans="1:11" x14ac:dyDescent="0.3">
      <c r="A156" s="4" t="s">
        <v>163</v>
      </c>
      <c r="B156" s="5">
        <v>44975</v>
      </c>
      <c r="C156" s="9" t="s">
        <v>512</v>
      </c>
      <c r="D156" s="4" t="s">
        <v>521</v>
      </c>
      <c r="E156" s="4" t="s">
        <v>575</v>
      </c>
      <c r="F156" s="4" t="s">
        <v>584</v>
      </c>
      <c r="G156" s="9">
        <v>659</v>
      </c>
      <c r="H156" s="4">
        <v>3</v>
      </c>
      <c r="I156" s="9">
        <v>120</v>
      </c>
      <c r="J156" s="3">
        <f t="shared" si="2"/>
        <v>1977</v>
      </c>
      <c r="K156" t="s">
        <v>592</v>
      </c>
    </row>
    <row r="157" spans="1:11" x14ac:dyDescent="0.3">
      <c r="A157" s="4" t="s">
        <v>164</v>
      </c>
      <c r="B157" s="5">
        <v>44973</v>
      </c>
      <c r="C157" s="9" t="s">
        <v>510</v>
      </c>
      <c r="D157" s="4" t="s">
        <v>519</v>
      </c>
      <c r="E157" s="4" t="s">
        <v>551</v>
      </c>
      <c r="F157" s="4" t="s">
        <v>584</v>
      </c>
      <c r="G157" s="9">
        <v>1671</v>
      </c>
      <c r="H157" s="4">
        <v>1</v>
      </c>
      <c r="I157" s="9">
        <v>228</v>
      </c>
      <c r="J157" s="3">
        <f t="shared" si="2"/>
        <v>1671</v>
      </c>
      <c r="K157" t="s">
        <v>592</v>
      </c>
    </row>
    <row r="158" spans="1:11" x14ac:dyDescent="0.3">
      <c r="A158" s="4" t="s">
        <v>165</v>
      </c>
      <c r="B158" s="5">
        <v>45214</v>
      </c>
      <c r="C158" s="9" t="s">
        <v>510</v>
      </c>
      <c r="D158" s="4" t="s">
        <v>519</v>
      </c>
      <c r="E158" s="4" t="s">
        <v>539</v>
      </c>
      <c r="F158" s="4" t="s">
        <v>586</v>
      </c>
      <c r="G158" s="9">
        <v>1145</v>
      </c>
      <c r="H158" s="4">
        <v>1</v>
      </c>
      <c r="I158" s="9">
        <v>151</v>
      </c>
      <c r="J158" s="3">
        <f t="shared" si="2"/>
        <v>1145</v>
      </c>
      <c r="K158" t="s">
        <v>597</v>
      </c>
    </row>
    <row r="159" spans="1:11" x14ac:dyDescent="0.3">
      <c r="A159" s="4" t="s">
        <v>166</v>
      </c>
      <c r="B159" s="5">
        <v>45086</v>
      </c>
      <c r="C159" s="9" t="s">
        <v>512</v>
      </c>
      <c r="D159" s="4" t="s">
        <v>522</v>
      </c>
      <c r="E159" s="4" t="s">
        <v>556</v>
      </c>
      <c r="F159" s="4" t="s">
        <v>583</v>
      </c>
      <c r="G159" s="9">
        <v>735</v>
      </c>
      <c r="H159" s="4">
        <v>5</v>
      </c>
      <c r="I159" s="9">
        <v>111</v>
      </c>
      <c r="J159" s="3">
        <f t="shared" si="2"/>
        <v>3675</v>
      </c>
      <c r="K159" t="s">
        <v>595</v>
      </c>
    </row>
    <row r="160" spans="1:11" x14ac:dyDescent="0.3">
      <c r="A160" s="4" t="s">
        <v>167</v>
      </c>
      <c r="B160" s="5">
        <v>45106</v>
      </c>
      <c r="C160" s="9" t="s">
        <v>511</v>
      </c>
      <c r="D160" s="4" t="s">
        <v>531</v>
      </c>
      <c r="E160" s="4" t="s">
        <v>578</v>
      </c>
      <c r="F160" s="4" t="s">
        <v>585</v>
      </c>
      <c r="G160" s="9">
        <v>1698</v>
      </c>
      <c r="H160" s="4">
        <v>3</v>
      </c>
      <c r="I160" s="9">
        <v>123</v>
      </c>
      <c r="J160" s="3">
        <f t="shared" si="2"/>
        <v>5094</v>
      </c>
      <c r="K160" t="s">
        <v>595</v>
      </c>
    </row>
    <row r="161" spans="1:11" x14ac:dyDescent="0.3">
      <c r="A161" s="4" t="s">
        <v>168</v>
      </c>
      <c r="B161" s="5">
        <v>45214</v>
      </c>
      <c r="C161" s="9" t="s">
        <v>510</v>
      </c>
      <c r="D161" s="4" t="s">
        <v>517</v>
      </c>
      <c r="E161" s="4" t="s">
        <v>562</v>
      </c>
      <c r="F161" s="4" t="s">
        <v>585</v>
      </c>
      <c r="G161" s="9">
        <v>1950</v>
      </c>
      <c r="H161" s="4">
        <v>5</v>
      </c>
      <c r="I161" s="9">
        <v>336</v>
      </c>
      <c r="J161" s="3">
        <f t="shared" si="2"/>
        <v>9750</v>
      </c>
      <c r="K161" t="s">
        <v>597</v>
      </c>
    </row>
    <row r="162" spans="1:11" x14ac:dyDescent="0.3">
      <c r="A162" s="4" t="s">
        <v>169</v>
      </c>
      <c r="B162" s="5">
        <v>45019</v>
      </c>
      <c r="C162" s="9" t="s">
        <v>509</v>
      </c>
      <c r="D162" s="4" t="s">
        <v>514</v>
      </c>
      <c r="E162" s="4" t="s">
        <v>582</v>
      </c>
      <c r="F162" s="4" t="s">
        <v>583</v>
      </c>
      <c r="G162" s="9">
        <v>582</v>
      </c>
      <c r="H162" s="4">
        <v>3</v>
      </c>
      <c r="I162" s="9">
        <v>136</v>
      </c>
      <c r="J162" s="3">
        <f t="shared" si="2"/>
        <v>1746</v>
      </c>
      <c r="K162" t="s">
        <v>588</v>
      </c>
    </row>
    <row r="163" spans="1:11" x14ac:dyDescent="0.3">
      <c r="A163" s="4" t="s">
        <v>170</v>
      </c>
      <c r="B163" s="5">
        <v>45216</v>
      </c>
      <c r="C163" s="9" t="s">
        <v>510</v>
      </c>
      <c r="D163" s="4" t="s">
        <v>515</v>
      </c>
      <c r="E163" s="4" t="s">
        <v>540</v>
      </c>
      <c r="F163" s="4" t="s">
        <v>585</v>
      </c>
      <c r="G163" s="9">
        <v>1331</v>
      </c>
      <c r="H163" s="4">
        <v>1</v>
      </c>
      <c r="I163" s="9">
        <v>104</v>
      </c>
      <c r="J163" s="3">
        <f t="shared" si="2"/>
        <v>1331</v>
      </c>
      <c r="K163" t="s">
        <v>597</v>
      </c>
    </row>
    <row r="164" spans="1:11" x14ac:dyDescent="0.3">
      <c r="A164" s="4" t="s">
        <v>171</v>
      </c>
      <c r="B164" s="5">
        <v>45141</v>
      </c>
      <c r="C164" s="9" t="s">
        <v>509</v>
      </c>
      <c r="D164" s="4" t="s">
        <v>513</v>
      </c>
      <c r="E164" s="4" t="s">
        <v>537</v>
      </c>
      <c r="F164" s="4" t="s">
        <v>585</v>
      </c>
      <c r="G164" s="9">
        <v>934</v>
      </c>
      <c r="H164" s="4">
        <v>2</v>
      </c>
      <c r="I164" s="9">
        <v>115</v>
      </c>
      <c r="J164" s="3">
        <f t="shared" si="2"/>
        <v>1868</v>
      </c>
      <c r="K164" t="s">
        <v>591</v>
      </c>
    </row>
    <row r="165" spans="1:11" x14ac:dyDescent="0.3">
      <c r="A165" s="4" t="s">
        <v>172</v>
      </c>
      <c r="B165" s="5">
        <v>45006</v>
      </c>
      <c r="C165" s="9" t="s">
        <v>510</v>
      </c>
      <c r="D165" s="4" t="s">
        <v>517</v>
      </c>
      <c r="E165" s="4" t="s">
        <v>555</v>
      </c>
      <c r="F165" s="4" t="s">
        <v>586</v>
      </c>
      <c r="G165" s="9">
        <v>356</v>
      </c>
      <c r="H165" s="4">
        <v>5</v>
      </c>
      <c r="I165" s="9">
        <v>21</v>
      </c>
      <c r="J165" s="3">
        <f t="shared" si="2"/>
        <v>1780</v>
      </c>
      <c r="K165" t="s">
        <v>598</v>
      </c>
    </row>
    <row r="166" spans="1:11" x14ac:dyDescent="0.3">
      <c r="A166" s="4" t="s">
        <v>173</v>
      </c>
      <c r="B166" s="5">
        <v>45144</v>
      </c>
      <c r="C166" s="9" t="s">
        <v>509</v>
      </c>
      <c r="D166" s="4" t="s">
        <v>526</v>
      </c>
      <c r="E166" s="4" t="s">
        <v>558</v>
      </c>
      <c r="F166" s="4" t="s">
        <v>584</v>
      </c>
      <c r="G166" s="9">
        <v>997</v>
      </c>
      <c r="H166" s="4">
        <v>4</v>
      </c>
      <c r="I166" s="9">
        <v>132</v>
      </c>
      <c r="J166" s="3">
        <f t="shared" si="2"/>
        <v>3988</v>
      </c>
      <c r="K166" t="s">
        <v>591</v>
      </c>
    </row>
    <row r="167" spans="1:11" x14ac:dyDescent="0.3">
      <c r="A167" s="4" t="s">
        <v>174</v>
      </c>
      <c r="B167" s="5">
        <v>45147</v>
      </c>
      <c r="C167" s="9" t="s">
        <v>511</v>
      </c>
      <c r="D167" s="4" t="s">
        <v>527</v>
      </c>
      <c r="E167" s="4" t="s">
        <v>571</v>
      </c>
      <c r="F167" s="4" t="s">
        <v>586</v>
      </c>
      <c r="G167" s="9">
        <v>266</v>
      </c>
      <c r="H167" s="4">
        <v>5</v>
      </c>
      <c r="I167" s="9">
        <v>39</v>
      </c>
      <c r="J167" s="3">
        <f t="shared" si="2"/>
        <v>1330</v>
      </c>
      <c r="K167" t="s">
        <v>591</v>
      </c>
    </row>
    <row r="168" spans="1:11" x14ac:dyDescent="0.3">
      <c r="A168" s="4" t="s">
        <v>175</v>
      </c>
      <c r="B168" s="5">
        <v>45233</v>
      </c>
      <c r="C168" s="9" t="s">
        <v>510</v>
      </c>
      <c r="D168" s="4" t="s">
        <v>515</v>
      </c>
      <c r="E168" s="4" t="s">
        <v>538</v>
      </c>
      <c r="F168" s="4" t="s">
        <v>585</v>
      </c>
      <c r="G168" s="9">
        <v>156</v>
      </c>
      <c r="H168" s="4">
        <v>2</v>
      </c>
      <c r="I168" s="9">
        <v>17</v>
      </c>
      <c r="J168" s="3">
        <f t="shared" si="2"/>
        <v>312</v>
      </c>
      <c r="K168" t="s">
        <v>590</v>
      </c>
    </row>
    <row r="169" spans="1:11" x14ac:dyDescent="0.3">
      <c r="A169" s="4" t="s">
        <v>176</v>
      </c>
      <c r="B169" s="5">
        <v>45094</v>
      </c>
      <c r="C169" s="9" t="s">
        <v>511</v>
      </c>
      <c r="D169" s="4" t="s">
        <v>520</v>
      </c>
      <c r="E169" s="4" t="s">
        <v>554</v>
      </c>
      <c r="F169" s="4" t="s">
        <v>583</v>
      </c>
      <c r="G169" s="9">
        <v>283</v>
      </c>
      <c r="H169" s="4">
        <v>4</v>
      </c>
      <c r="I169" s="9">
        <v>56</v>
      </c>
      <c r="J169" s="3">
        <f t="shared" si="2"/>
        <v>1132</v>
      </c>
      <c r="K169" t="s">
        <v>595</v>
      </c>
    </row>
    <row r="170" spans="1:11" x14ac:dyDescent="0.3">
      <c r="A170" s="4" t="s">
        <v>177</v>
      </c>
      <c r="B170" s="5">
        <v>45287</v>
      </c>
      <c r="C170" s="9" t="s">
        <v>511</v>
      </c>
      <c r="D170" s="4" t="s">
        <v>520</v>
      </c>
      <c r="E170" s="4" t="s">
        <v>581</v>
      </c>
      <c r="F170" s="4" t="s">
        <v>584</v>
      </c>
      <c r="G170" s="9">
        <v>498</v>
      </c>
      <c r="H170" s="4">
        <v>5</v>
      </c>
      <c r="I170" s="9">
        <v>108</v>
      </c>
      <c r="J170" s="3">
        <f t="shared" si="2"/>
        <v>2490</v>
      </c>
      <c r="K170" t="s">
        <v>594</v>
      </c>
    </row>
    <row r="171" spans="1:11" x14ac:dyDescent="0.3">
      <c r="A171" s="4" t="s">
        <v>178</v>
      </c>
      <c r="B171" s="5">
        <v>44948</v>
      </c>
      <c r="C171" s="9" t="s">
        <v>510</v>
      </c>
      <c r="D171" s="4" t="s">
        <v>515</v>
      </c>
      <c r="E171" s="4" t="s">
        <v>573</v>
      </c>
      <c r="F171" s="4" t="s">
        <v>584</v>
      </c>
      <c r="G171" s="9">
        <v>900</v>
      </c>
      <c r="H171" s="4">
        <v>4</v>
      </c>
      <c r="I171" s="9">
        <v>210</v>
      </c>
      <c r="J171" s="3">
        <f t="shared" si="2"/>
        <v>3600</v>
      </c>
      <c r="K171" t="s">
        <v>589</v>
      </c>
    </row>
    <row r="172" spans="1:11" x14ac:dyDescent="0.3">
      <c r="A172" s="4" t="s">
        <v>179</v>
      </c>
      <c r="B172" s="5">
        <v>45134</v>
      </c>
      <c r="C172" s="9" t="s">
        <v>510</v>
      </c>
      <c r="D172" s="4" t="s">
        <v>517</v>
      </c>
      <c r="E172" s="4" t="s">
        <v>574</v>
      </c>
      <c r="F172" s="4" t="s">
        <v>584</v>
      </c>
      <c r="G172" s="9">
        <v>1433</v>
      </c>
      <c r="H172" s="4">
        <v>4</v>
      </c>
      <c r="I172" s="9">
        <v>154</v>
      </c>
      <c r="J172" s="3">
        <f t="shared" si="2"/>
        <v>5732</v>
      </c>
      <c r="K172" t="s">
        <v>596</v>
      </c>
    </row>
    <row r="173" spans="1:11" x14ac:dyDescent="0.3">
      <c r="A173" s="4" t="s">
        <v>180</v>
      </c>
      <c r="B173" s="5">
        <v>45243</v>
      </c>
      <c r="C173" s="9" t="s">
        <v>512</v>
      </c>
      <c r="D173" s="4" t="s">
        <v>522</v>
      </c>
      <c r="E173" s="4" t="s">
        <v>552</v>
      </c>
      <c r="F173" s="4" t="s">
        <v>583</v>
      </c>
      <c r="G173" s="9">
        <v>947</v>
      </c>
      <c r="H173" s="4">
        <v>3</v>
      </c>
      <c r="I173" s="9">
        <v>64</v>
      </c>
      <c r="J173" s="3">
        <f t="shared" si="2"/>
        <v>2841</v>
      </c>
      <c r="K173" t="s">
        <v>590</v>
      </c>
    </row>
    <row r="174" spans="1:11" x14ac:dyDescent="0.3">
      <c r="A174" s="4" t="s">
        <v>181</v>
      </c>
      <c r="B174" s="5">
        <v>45132</v>
      </c>
      <c r="C174" s="9" t="s">
        <v>509</v>
      </c>
      <c r="D174" s="4" t="s">
        <v>518</v>
      </c>
      <c r="E174" s="4" t="s">
        <v>539</v>
      </c>
      <c r="F174" s="4" t="s">
        <v>584</v>
      </c>
      <c r="G174" s="9">
        <v>1071</v>
      </c>
      <c r="H174" s="4">
        <v>4</v>
      </c>
      <c r="I174" s="9">
        <v>240</v>
      </c>
      <c r="J174" s="3">
        <f t="shared" si="2"/>
        <v>4284</v>
      </c>
      <c r="K174" t="s">
        <v>596</v>
      </c>
    </row>
    <row r="175" spans="1:11" x14ac:dyDescent="0.3">
      <c r="A175" s="4" t="s">
        <v>182</v>
      </c>
      <c r="B175" s="5">
        <v>45013</v>
      </c>
      <c r="C175" s="9" t="s">
        <v>510</v>
      </c>
      <c r="D175" s="4" t="s">
        <v>519</v>
      </c>
      <c r="E175" s="4" t="s">
        <v>542</v>
      </c>
      <c r="F175" s="4" t="s">
        <v>583</v>
      </c>
      <c r="G175" s="9">
        <v>198</v>
      </c>
      <c r="H175" s="4">
        <v>1</v>
      </c>
      <c r="I175" s="9">
        <v>31</v>
      </c>
      <c r="J175" s="3">
        <f t="shared" si="2"/>
        <v>198</v>
      </c>
      <c r="K175" t="s">
        <v>598</v>
      </c>
    </row>
    <row r="176" spans="1:11" x14ac:dyDescent="0.3">
      <c r="A176" s="4" t="s">
        <v>183</v>
      </c>
      <c r="B176" s="5">
        <v>45257</v>
      </c>
      <c r="C176" s="9" t="s">
        <v>511</v>
      </c>
      <c r="D176" s="4" t="s">
        <v>529</v>
      </c>
      <c r="E176" s="4" t="s">
        <v>575</v>
      </c>
      <c r="F176" s="4" t="s">
        <v>583</v>
      </c>
      <c r="G176" s="9">
        <v>1639</v>
      </c>
      <c r="H176" s="4">
        <v>2</v>
      </c>
      <c r="I176" s="9">
        <v>115</v>
      </c>
      <c r="J176" s="3">
        <f t="shared" si="2"/>
        <v>3278</v>
      </c>
      <c r="K176" t="s">
        <v>590</v>
      </c>
    </row>
    <row r="177" spans="1:11" x14ac:dyDescent="0.3">
      <c r="A177" s="4" t="s">
        <v>184</v>
      </c>
      <c r="B177" s="5">
        <v>45005</v>
      </c>
      <c r="C177" s="9" t="s">
        <v>510</v>
      </c>
      <c r="D177" s="4" t="s">
        <v>519</v>
      </c>
      <c r="E177" s="4" t="s">
        <v>556</v>
      </c>
      <c r="F177" s="4" t="s">
        <v>585</v>
      </c>
      <c r="G177" s="9">
        <v>1532</v>
      </c>
      <c r="H177" s="4">
        <v>1</v>
      </c>
      <c r="I177" s="9">
        <v>130</v>
      </c>
      <c r="J177" s="3">
        <f t="shared" si="2"/>
        <v>1532</v>
      </c>
      <c r="K177" t="s">
        <v>598</v>
      </c>
    </row>
    <row r="178" spans="1:11" x14ac:dyDescent="0.3">
      <c r="A178" s="4" t="s">
        <v>185</v>
      </c>
      <c r="B178" s="5">
        <v>45216</v>
      </c>
      <c r="C178" s="9" t="s">
        <v>512</v>
      </c>
      <c r="D178" s="4" t="s">
        <v>521</v>
      </c>
      <c r="E178" s="4" t="s">
        <v>549</v>
      </c>
      <c r="F178" s="4" t="s">
        <v>584</v>
      </c>
      <c r="G178" s="9">
        <v>1303</v>
      </c>
      <c r="H178" s="4">
        <v>5</v>
      </c>
      <c r="I178" s="9">
        <v>149</v>
      </c>
      <c r="J178" s="3">
        <f t="shared" si="2"/>
        <v>6515</v>
      </c>
      <c r="K178" t="s">
        <v>597</v>
      </c>
    </row>
    <row r="179" spans="1:11" x14ac:dyDescent="0.3">
      <c r="A179" s="4" t="s">
        <v>186</v>
      </c>
      <c r="B179" s="5">
        <v>45167</v>
      </c>
      <c r="C179" s="9" t="s">
        <v>510</v>
      </c>
      <c r="D179" s="4" t="s">
        <v>519</v>
      </c>
      <c r="E179" s="4" t="s">
        <v>551</v>
      </c>
      <c r="F179" s="4" t="s">
        <v>584</v>
      </c>
      <c r="G179" s="9">
        <v>912</v>
      </c>
      <c r="H179" s="4">
        <v>3</v>
      </c>
      <c r="I179" s="9">
        <v>190</v>
      </c>
      <c r="J179" s="3">
        <f t="shared" si="2"/>
        <v>2736</v>
      </c>
      <c r="K179" t="s">
        <v>591</v>
      </c>
    </row>
    <row r="180" spans="1:11" x14ac:dyDescent="0.3">
      <c r="A180" s="4" t="s">
        <v>187</v>
      </c>
      <c r="B180" s="5">
        <v>45163</v>
      </c>
      <c r="C180" s="9" t="s">
        <v>509</v>
      </c>
      <c r="D180" s="4" t="s">
        <v>526</v>
      </c>
      <c r="E180" s="4" t="s">
        <v>579</v>
      </c>
      <c r="F180" s="4" t="s">
        <v>586</v>
      </c>
      <c r="G180" s="9">
        <v>931</v>
      </c>
      <c r="H180" s="4">
        <v>1</v>
      </c>
      <c r="I180" s="9">
        <v>115</v>
      </c>
      <c r="J180" s="3">
        <f t="shared" si="2"/>
        <v>931</v>
      </c>
      <c r="K180" t="s">
        <v>591</v>
      </c>
    </row>
    <row r="181" spans="1:11" x14ac:dyDescent="0.3">
      <c r="A181" s="4" t="s">
        <v>188</v>
      </c>
      <c r="B181" s="5">
        <v>45231</v>
      </c>
      <c r="C181" s="9" t="s">
        <v>510</v>
      </c>
      <c r="D181" s="4" t="s">
        <v>515</v>
      </c>
      <c r="E181" s="4" t="s">
        <v>557</v>
      </c>
      <c r="F181" s="4" t="s">
        <v>586</v>
      </c>
      <c r="G181" s="9">
        <v>1038</v>
      </c>
      <c r="H181" s="4">
        <v>4</v>
      </c>
      <c r="I181" s="9">
        <v>172</v>
      </c>
      <c r="J181" s="3">
        <f t="shared" si="2"/>
        <v>4152</v>
      </c>
      <c r="K181" t="s">
        <v>590</v>
      </c>
    </row>
    <row r="182" spans="1:11" x14ac:dyDescent="0.3">
      <c r="A182" s="4" t="s">
        <v>189</v>
      </c>
      <c r="B182" s="5">
        <v>45236</v>
      </c>
      <c r="C182" s="9" t="s">
        <v>509</v>
      </c>
      <c r="D182" s="4" t="s">
        <v>516</v>
      </c>
      <c r="E182" s="4" t="s">
        <v>570</v>
      </c>
      <c r="F182" s="4" t="s">
        <v>585</v>
      </c>
      <c r="G182" s="9">
        <v>977</v>
      </c>
      <c r="H182" s="4">
        <v>2</v>
      </c>
      <c r="I182" s="9">
        <v>236</v>
      </c>
      <c r="J182" s="3">
        <f t="shared" si="2"/>
        <v>1954</v>
      </c>
      <c r="K182" t="s">
        <v>590</v>
      </c>
    </row>
    <row r="183" spans="1:11" x14ac:dyDescent="0.3">
      <c r="A183" s="4" t="s">
        <v>190</v>
      </c>
      <c r="B183" s="5">
        <v>44970</v>
      </c>
      <c r="C183" s="9" t="s">
        <v>512</v>
      </c>
      <c r="D183" s="4" t="s">
        <v>522</v>
      </c>
      <c r="E183" s="4" t="s">
        <v>535</v>
      </c>
      <c r="F183" s="4" t="s">
        <v>583</v>
      </c>
      <c r="G183" s="9">
        <v>1033</v>
      </c>
      <c r="H183" s="4">
        <v>2</v>
      </c>
      <c r="I183" s="9">
        <v>59</v>
      </c>
      <c r="J183" s="3">
        <f t="shared" si="2"/>
        <v>2066</v>
      </c>
      <c r="K183" t="s">
        <v>592</v>
      </c>
    </row>
    <row r="184" spans="1:11" x14ac:dyDescent="0.3">
      <c r="A184" s="4" t="s">
        <v>191</v>
      </c>
      <c r="B184" s="5">
        <v>45117</v>
      </c>
      <c r="C184" s="9" t="s">
        <v>512</v>
      </c>
      <c r="D184" s="4" t="s">
        <v>521</v>
      </c>
      <c r="E184" s="4" t="s">
        <v>564</v>
      </c>
      <c r="F184" s="4" t="s">
        <v>585</v>
      </c>
      <c r="G184" s="9">
        <v>1839</v>
      </c>
      <c r="H184" s="4">
        <v>4</v>
      </c>
      <c r="I184" s="9">
        <v>242</v>
      </c>
      <c r="J184" s="3">
        <f t="shared" si="2"/>
        <v>7356</v>
      </c>
      <c r="K184" t="s">
        <v>596</v>
      </c>
    </row>
    <row r="185" spans="1:11" x14ac:dyDescent="0.3">
      <c r="A185" s="4" t="s">
        <v>192</v>
      </c>
      <c r="B185" s="5">
        <v>45258</v>
      </c>
      <c r="C185" s="9" t="s">
        <v>510</v>
      </c>
      <c r="D185" s="4" t="s">
        <v>517</v>
      </c>
      <c r="E185" s="4" t="s">
        <v>569</v>
      </c>
      <c r="F185" s="4" t="s">
        <v>586</v>
      </c>
      <c r="G185" s="9">
        <v>702</v>
      </c>
      <c r="H185" s="4">
        <v>3</v>
      </c>
      <c r="I185" s="9">
        <v>48</v>
      </c>
      <c r="J185" s="3">
        <f t="shared" si="2"/>
        <v>2106</v>
      </c>
      <c r="K185" t="s">
        <v>590</v>
      </c>
    </row>
    <row r="186" spans="1:11" x14ac:dyDescent="0.3">
      <c r="A186" s="4" t="s">
        <v>193</v>
      </c>
      <c r="B186" s="5">
        <v>45263</v>
      </c>
      <c r="C186" s="9" t="s">
        <v>512</v>
      </c>
      <c r="D186" s="4" t="s">
        <v>532</v>
      </c>
      <c r="E186" s="4" t="s">
        <v>575</v>
      </c>
      <c r="F186" s="4" t="s">
        <v>583</v>
      </c>
      <c r="G186" s="9">
        <v>1930</v>
      </c>
      <c r="H186" s="4">
        <v>5</v>
      </c>
      <c r="I186" s="9">
        <v>433</v>
      </c>
      <c r="J186" s="3">
        <f t="shared" si="2"/>
        <v>9650</v>
      </c>
      <c r="K186" t="s">
        <v>594</v>
      </c>
    </row>
    <row r="187" spans="1:11" x14ac:dyDescent="0.3">
      <c r="A187" s="4" t="s">
        <v>194</v>
      </c>
      <c r="B187" s="5">
        <v>45085</v>
      </c>
      <c r="C187" s="9" t="s">
        <v>510</v>
      </c>
      <c r="D187" s="4" t="s">
        <v>515</v>
      </c>
      <c r="E187" s="4" t="s">
        <v>571</v>
      </c>
      <c r="F187" s="4" t="s">
        <v>585</v>
      </c>
      <c r="G187" s="9">
        <v>1937</v>
      </c>
      <c r="H187" s="4">
        <v>4</v>
      </c>
      <c r="I187" s="9">
        <v>146</v>
      </c>
      <c r="J187" s="3">
        <f t="shared" si="2"/>
        <v>7748</v>
      </c>
      <c r="K187" t="s">
        <v>595</v>
      </c>
    </row>
    <row r="188" spans="1:11" x14ac:dyDescent="0.3">
      <c r="A188" s="4" t="s">
        <v>195</v>
      </c>
      <c r="B188" s="5">
        <v>45095</v>
      </c>
      <c r="C188" s="9" t="s">
        <v>509</v>
      </c>
      <c r="D188" s="4" t="s">
        <v>526</v>
      </c>
      <c r="E188" s="4" t="s">
        <v>580</v>
      </c>
      <c r="F188" s="4" t="s">
        <v>584</v>
      </c>
      <c r="G188" s="9">
        <v>1635</v>
      </c>
      <c r="H188" s="4">
        <v>5</v>
      </c>
      <c r="I188" s="9">
        <v>112</v>
      </c>
      <c r="J188" s="3">
        <f t="shared" si="2"/>
        <v>8175</v>
      </c>
      <c r="K188" t="s">
        <v>595</v>
      </c>
    </row>
    <row r="189" spans="1:11" x14ac:dyDescent="0.3">
      <c r="A189" s="4" t="s">
        <v>196</v>
      </c>
      <c r="B189" s="5">
        <v>45112</v>
      </c>
      <c r="C189" s="9" t="s">
        <v>512</v>
      </c>
      <c r="D189" s="4" t="s">
        <v>530</v>
      </c>
      <c r="E189" s="4" t="s">
        <v>582</v>
      </c>
      <c r="F189" s="4" t="s">
        <v>583</v>
      </c>
      <c r="G189" s="9">
        <v>652</v>
      </c>
      <c r="H189" s="4">
        <v>2</v>
      </c>
      <c r="I189" s="9">
        <v>77</v>
      </c>
      <c r="J189" s="3">
        <f t="shared" si="2"/>
        <v>1304</v>
      </c>
      <c r="K189" t="s">
        <v>596</v>
      </c>
    </row>
    <row r="190" spans="1:11" x14ac:dyDescent="0.3">
      <c r="A190" s="4" t="s">
        <v>197</v>
      </c>
      <c r="B190" s="5">
        <v>45006</v>
      </c>
      <c r="C190" s="9" t="s">
        <v>512</v>
      </c>
      <c r="D190" s="4" t="s">
        <v>523</v>
      </c>
      <c r="E190" s="4" t="s">
        <v>545</v>
      </c>
      <c r="F190" s="4" t="s">
        <v>585</v>
      </c>
      <c r="G190" s="9">
        <v>200</v>
      </c>
      <c r="H190" s="4">
        <v>1</v>
      </c>
      <c r="I190" s="9">
        <v>30</v>
      </c>
      <c r="J190" s="3">
        <f t="shared" si="2"/>
        <v>200</v>
      </c>
      <c r="K190" t="s">
        <v>598</v>
      </c>
    </row>
    <row r="191" spans="1:11" x14ac:dyDescent="0.3">
      <c r="A191" s="4" t="s">
        <v>198</v>
      </c>
      <c r="B191" s="5">
        <v>45119</v>
      </c>
      <c r="C191" s="9" t="s">
        <v>509</v>
      </c>
      <c r="D191" s="4" t="s">
        <v>526</v>
      </c>
      <c r="E191" s="4" t="s">
        <v>556</v>
      </c>
      <c r="F191" s="4" t="s">
        <v>585</v>
      </c>
      <c r="G191" s="9">
        <v>350</v>
      </c>
      <c r="H191" s="4">
        <v>2</v>
      </c>
      <c r="I191" s="9">
        <v>75</v>
      </c>
      <c r="J191" s="3">
        <f t="shared" si="2"/>
        <v>700</v>
      </c>
      <c r="K191" t="s">
        <v>596</v>
      </c>
    </row>
    <row r="192" spans="1:11" x14ac:dyDescent="0.3">
      <c r="A192" s="4" t="s">
        <v>199</v>
      </c>
      <c r="B192" s="5">
        <v>45113</v>
      </c>
      <c r="C192" s="9" t="s">
        <v>511</v>
      </c>
      <c r="D192" s="4" t="s">
        <v>531</v>
      </c>
      <c r="E192" s="4" t="s">
        <v>548</v>
      </c>
      <c r="F192" s="4" t="s">
        <v>586</v>
      </c>
      <c r="G192" s="9">
        <v>1368</v>
      </c>
      <c r="H192" s="4">
        <v>2</v>
      </c>
      <c r="I192" s="9">
        <v>333</v>
      </c>
      <c r="J192" s="3">
        <f t="shared" si="2"/>
        <v>2736</v>
      </c>
      <c r="K192" t="s">
        <v>596</v>
      </c>
    </row>
    <row r="193" spans="1:11" x14ac:dyDescent="0.3">
      <c r="A193" s="4" t="s">
        <v>200</v>
      </c>
      <c r="B193" s="5">
        <v>45049</v>
      </c>
      <c r="C193" s="9" t="s">
        <v>510</v>
      </c>
      <c r="D193" s="4" t="s">
        <v>525</v>
      </c>
      <c r="E193" s="4" t="s">
        <v>581</v>
      </c>
      <c r="F193" s="4" t="s">
        <v>585</v>
      </c>
      <c r="G193" s="9">
        <v>653</v>
      </c>
      <c r="H193" s="4">
        <v>4</v>
      </c>
      <c r="I193" s="9">
        <v>150</v>
      </c>
      <c r="J193" s="3">
        <f t="shared" si="2"/>
        <v>2612</v>
      </c>
      <c r="K193" t="s">
        <v>593</v>
      </c>
    </row>
    <row r="194" spans="1:11" x14ac:dyDescent="0.3">
      <c r="A194" s="4" t="s">
        <v>201</v>
      </c>
      <c r="B194" s="5">
        <v>45071</v>
      </c>
      <c r="C194" s="9" t="s">
        <v>511</v>
      </c>
      <c r="D194" s="4" t="s">
        <v>529</v>
      </c>
      <c r="E194" s="4" t="s">
        <v>568</v>
      </c>
      <c r="F194" s="4" t="s">
        <v>584</v>
      </c>
      <c r="G194" s="9">
        <v>1567</v>
      </c>
      <c r="H194" s="4">
        <v>5</v>
      </c>
      <c r="I194" s="9">
        <v>243</v>
      </c>
      <c r="J194" s="3">
        <f t="shared" si="2"/>
        <v>7835</v>
      </c>
      <c r="K194" t="s">
        <v>593</v>
      </c>
    </row>
    <row r="195" spans="1:11" x14ac:dyDescent="0.3">
      <c r="A195" s="4" t="s">
        <v>202</v>
      </c>
      <c r="B195" s="5">
        <v>44953</v>
      </c>
      <c r="C195" s="9" t="s">
        <v>511</v>
      </c>
      <c r="D195" s="4" t="s">
        <v>520</v>
      </c>
      <c r="E195" s="4" t="s">
        <v>560</v>
      </c>
      <c r="F195" s="4" t="s">
        <v>585</v>
      </c>
      <c r="G195" s="9">
        <v>1300</v>
      </c>
      <c r="H195" s="4">
        <v>3</v>
      </c>
      <c r="I195" s="9">
        <v>209</v>
      </c>
      <c r="J195" s="3">
        <f t="shared" ref="J195:J258" si="3">H195*G195</f>
        <v>3900</v>
      </c>
      <c r="K195" t="s">
        <v>589</v>
      </c>
    </row>
    <row r="196" spans="1:11" x14ac:dyDescent="0.3">
      <c r="A196" s="4" t="s">
        <v>203</v>
      </c>
      <c r="B196" s="5">
        <v>44969</v>
      </c>
      <c r="C196" s="9" t="s">
        <v>509</v>
      </c>
      <c r="D196" s="4" t="s">
        <v>514</v>
      </c>
      <c r="E196" s="4" t="s">
        <v>554</v>
      </c>
      <c r="F196" s="4" t="s">
        <v>586</v>
      </c>
      <c r="G196" s="9">
        <v>1538</v>
      </c>
      <c r="H196" s="4">
        <v>3</v>
      </c>
      <c r="I196" s="9">
        <v>215</v>
      </c>
      <c r="J196" s="3">
        <f t="shared" si="3"/>
        <v>4614</v>
      </c>
      <c r="K196" t="s">
        <v>592</v>
      </c>
    </row>
    <row r="197" spans="1:11" x14ac:dyDescent="0.3">
      <c r="A197" s="4" t="s">
        <v>204</v>
      </c>
      <c r="B197" s="5">
        <v>45157</v>
      </c>
      <c r="C197" s="9" t="s">
        <v>511</v>
      </c>
      <c r="D197" s="4" t="s">
        <v>531</v>
      </c>
      <c r="E197" s="4" t="s">
        <v>546</v>
      </c>
      <c r="F197" s="4" t="s">
        <v>586</v>
      </c>
      <c r="G197" s="9">
        <v>1775</v>
      </c>
      <c r="H197" s="4">
        <v>1</v>
      </c>
      <c r="I197" s="9">
        <v>236</v>
      </c>
      <c r="J197" s="3">
        <f t="shared" si="3"/>
        <v>1775</v>
      </c>
      <c r="K197" t="s">
        <v>591</v>
      </c>
    </row>
    <row r="198" spans="1:11" x14ac:dyDescent="0.3">
      <c r="A198" s="4" t="s">
        <v>205</v>
      </c>
      <c r="B198" s="5">
        <v>45124</v>
      </c>
      <c r="C198" s="9" t="s">
        <v>512</v>
      </c>
      <c r="D198" s="4" t="s">
        <v>530</v>
      </c>
      <c r="E198" s="4" t="s">
        <v>533</v>
      </c>
      <c r="F198" s="4" t="s">
        <v>583</v>
      </c>
      <c r="G198" s="9">
        <v>1989</v>
      </c>
      <c r="H198" s="4">
        <v>3</v>
      </c>
      <c r="I198" s="9">
        <v>188</v>
      </c>
      <c r="J198" s="3">
        <f t="shared" si="3"/>
        <v>5967</v>
      </c>
      <c r="K198" t="s">
        <v>596</v>
      </c>
    </row>
    <row r="199" spans="1:11" x14ac:dyDescent="0.3">
      <c r="A199" s="4" t="s">
        <v>206</v>
      </c>
      <c r="B199" s="5">
        <v>44997</v>
      </c>
      <c r="C199" s="9" t="s">
        <v>510</v>
      </c>
      <c r="D199" s="4" t="s">
        <v>515</v>
      </c>
      <c r="E199" s="4" t="s">
        <v>540</v>
      </c>
      <c r="F199" s="4" t="s">
        <v>583</v>
      </c>
      <c r="G199" s="9">
        <v>124</v>
      </c>
      <c r="H199" s="4">
        <v>4</v>
      </c>
      <c r="I199" s="9">
        <v>23</v>
      </c>
      <c r="J199" s="3">
        <f t="shared" si="3"/>
        <v>496</v>
      </c>
      <c r="K199" t="s">
        <v>598</v>
      </c>
    </row>
    <row r="200" spans="1:11" x14ac:dyDescent="0.3">
      <c r="A200" s="4" t="s">
        <v>207</v>
      </c>
      <c r="B200" s="5">
        <v>44929</v>
      </c>
      <c r="C200" s="9" t="s">
        <v>511</v>
      </c>
      <c r="D200" s="4" t="s">
        <v>531</v>
      </c>
      <c r="E200" s="4" t="s">
        <v>557</v>
      </c>
      <c r="F200" s="4" t="s">
        <v>584</v>
      </c>
      <c r="G200" s="9">
        <v>1816</v>
      </c>
      <c r="H200" s="4">
        <v>1</v>
      </c>
      <c r="I200" s="9">
        <v>183</v>
      </c>
      <c r="J200" s="3">
        <f t="shared" si="3"/>
        <v>1816</v>
      </c>
      <c r="K200" t="s">
        <v>589</v>
      </c>
    </row>
    <row r="201" spans="1:11" x14ac:dyDescent="0.3">
      <c r="A201" s="4" t="s">
        <v>208</v>
      </c>
      <c r="B201" s="5">
        <v>45074</v>
      </c>
      <c r="C201" s="9" t="s">
        <v>511</v>
      </c>
      <c r="D201" s="4" t="s">
        <v>527</v>
      </c>
      <c r="E201" s="4" t="s">
        <v>577</v>
      </c>
      <c r="F201" s="4" t="s">
        <v>584</v>
      </c>
      <c r="G201" s="9">
        <v>513</v>
      </c>
      <c r="H201" s="4">
        <v>1</v>
      </c>
      <c r="I201" s="9">
        <v>30</v>
      </c>
      <c r="J201" s="3">
        <f t="shared" si="3"/>
        <v>513</v>
      </c>
      <c r="K201" t="s">
        <v>593</v>
      </c>
    </row>
    <row r="202" spans="1:11" x14ac:dyDescent="0.3">
      <c r="A202" s="4" t="s">
        <v>209</v>
      </c>
      <c r="B202" s="5">
        <v>44983</v>
      </c>
      <c r="C202" s="9" t="s">
        <v>512</v>
      </c>
      <c r="D202" s="4" t="s">
        <v>530</v>
      </c>
      <c r="E202" s="4" t="s">
        <v>551</v>
      </c>
      <c r="F202" s="4" t="s">
        <v>584</v>
      </c>
      <c r="G202" s="9">
        <v>1681</v>
      </c>
      <c r="H202" s="4">
        <v>4</v>
      </c>
      <c r="I202" s="9">
        <v>284</v>
      </c>
      <c r="J202" s="3">
        <f t="shared" si="3"/>
        <v>6724</v>
      </c>
      <c r="K202" t="s">
        <v>592</v>
      </c>
    </row>
    <row r="203" spans="1:11" x14ac:dyDescent="0.3">
      <c r="A203" s="4" t="s">
        <v>210</v>
      </c>
      <c r="B203" s="5">
        <v>45000</v>
      </c>
      <c r="C203" s="9" t="s">
        <v>509</v>
      </c>
      <c r="D203" s="4" t="s">
        <v>514</v>
      </c>
      <c r="E203" s="4" t="s">
        <v>535</v>
      </c>
      <c r="F203" s="4" t="s">
        <v>585</v>
      </c>
      <c r="G203" s="9">
        <v>617</v>
      </c>
      <c r="H203" s="4">
        <v>1</v>
      </c>
      <c r="I203" s="9">
        <v>106</v>
      </c>
      <c r="J203" s="3">
        <f t="shared" si="3"/>
        <v>617</v>
      </c>
      <c r="K203" t="s">
        <v>598</v>
      </c>
    </row>
    <row r="204" spans="1:11" x14ac:dyDescent="0.3">
      <c r="A204" s="4" t="s">
        <v>211</v>
      </c>
      <c r="B204" s="5">
        <v>45267</v>
      </c>
      <c r="C204" s="9" t="s">
        <v>511</v>
      </c>
      <c r="D204" s="4" t="s">
        <v>527</v>
      </c>
      <c r="E204" s="4" t="s">
        <v>567</v>
      </c>
      <c r="F204" s="4" t="s">
        <v>584</v>
      </c>
      <c r="G204" s="9">
        <v>1353</v>
      </c>
      <c r="H204" s="4">
        <v>5</v>
      </c>
      <c r="I204" s="9">
        <v>331</v>
      </c>
      <c r="J204" s="3">
        <f t="shared" si="3"/>
        <v>6765</v>
      </c>
      <c r="K204" t="s">
        <v>594</v>
      </c>
    </row>
    <row r="205" spans="1:11" x14ac:dyDescent="0.3">
      <c r="A205" s="4" t="s">
        <v>212</v>
      </c>
      <c r="B205" s="5">
        <v>45167</v>
      </c>
      <c r="C205" s="9" t="s">
        <v>509</v>
      </c>
      <c r="D205" s="4" t="s">
        <v>514</v>
      </c>
      <c r="E205" s="4" t="s">
        <v>537</v>
      </c>
      <c r="F205" s="4" t="s">
        <v>586</v>
      </c>
      <c r="G205" s="9">
        <v>134</v>
      </c>
      <c r="H205" s="4">
        <v>4</v>
      </c>
      <c r="I205" s="9">
        <v>33</v>
      </c>
      <c r="J205" s="3">
        <f t="shared" si="3"/>
        <v>536</v>
      </c>
      <c r="K205" t="s">
        <v>591</v>
      </c>
    </row>
    <row r="206" spans="1:11" x14ac:dyDescent="0.3">
      <c r="A206" s="4" t="s">
        <v>213</v>
      </c>
      <c r="B206" s="5">
        <v>45103</v>
      </c>
      <c r="C206" s="9" t="s">
        <v>510</v>
      </c>
      <c r="D206" s="4" t="s">
        <v>515</v>
      </c>
      <c r="E206" s="4" t="s">
        <v>551</v>
      </c>
      <c r="F206" s="4" t="s">
        <v>583</v>
      </c>
      <c r="G206" s="9">
        <v>520</v>
      </c>
      <c r="H206" s="4">
        <v>1</v>
      </c>
      <c r="I206" s="9">
        <v>106</v>
      </c>
      <c r="J206" s="3">
        <f t="shared" si="3"/>
        <v>520</v>
      </c>
      <c r="K206" t="s">
        <v>595</v>
      </c>
    </row>
    <row r="207" spans="1:11" x14ac:dyDescent="0.3">
      <c r="A207" s="4" t="s">
        <v>214</v>
      </c>
      <c r="B207" s="5">
        <v>45206</v>
      </c>
      <c r="C207" s="9" t="s">
        <v>510</v>
      </c>
      <c r="D207" s="4" t="s">
        <v>519</v>
      </c>
      <c r="E207" s="4" t="s">
        <v>571</v>
      </c>
      <c r="F207" s="4" t="s">
        <v>586</v>
      </c>
      <c r="G207" s="9">
        <v>710</v>
      </c>
      <c r="H207" s="4">
        <v>2</v>
      </c>
      <c r="I207" s="9">
        <v>153</v>
      </c>
      <c r="J207" s="3">
        <f t="shared" si="3"/>
        <v>1420</v>
      </c>
      <c r="K207" t="s">
        <v>597</v>
      </c>
    </row>
    <row r="208" spans="1:11" x14ac:dyDescent="0.3">
      <c r="A208" s="4" t="s">
        <v>215</v>
      </c>
      <c r="B208" s="5">
        <v>44959</v>
      </c>
      <c r="C208" s="9" t="s">
        <v>512</v>
      </c>
      <c r="D208" s="4" t="s">
        <v>521</v>
      </c>
      <c r="E208" s="4" t="s">
        <v>545</v>
      </c>
      <c r="F208" s="4" t="s">
        <v>585</v>
      </c>
      <c r="G208" s="9">
        <v>1446</v>
      </c>
      <c r="H208" s="4">
        <v>4</v>
      </c>
      <c r="I208" s="9">
        <v>83</v>
      </c>
      <c r="J208" s="3">
        <f t="shared" si="3"/>
        <v>5784</v>
      </c>
      <c r="K208" t="s">
        <v>592</v>
      </c>
    </row>
    <row r="209" spans="1:11" x14ac:dyDescent="0.3">
      <c r="A209" s="4" t="s">
        <v>216</v>
      </c>
      <c r="B209" s="5">
        <v>45088</v>
      </c>
      <c r="C209" s="9" t="s">
        <v>511</v>
      </c>
      <c r="D209" s="4" t="s">
        <v>524</v>
      </c>
      <c r="E209" s="4" t="s">
        <v>534</v>
      </c>
      <c r="F209" s="4" t="s">
        <v>585</v>
      </c>
      <c r="G209" s="9">
        <v>1870</v>
      </c>
      <c r="H209" s="4">
        <v>5</v>
      </c>
      <c r="I209" s="9">
        <v>242</v>
      </c>
      <c r="J209" s="3">
        <f t="shared" si="3"/>
        <v>9350</v>
      </c>
      <c r="K209" t="s">
        <v>595</v>
      </c>
    </row>
    <row r="210" spans="1:11" x14ac:dyDescent="0.3">
      <c r="A210" s="4" t="s">
        <v>217</v>
      </c>
      <c r="B210" s="5">
        <v>45258</v>
      </c>
      <c r="C210" s="9" t="s">
        <v>512</v>
      </c>
      <c r="D210" s="4" t="s">
        <v>532</v>
      </c>
      <c r="E210" s="4" t="s">
        <v>559</v>
      </c>
      <c r="F210" s="4" t="s">
        <v>586</v>
      </c>
      <c r="G210" s="9">
        <v>422</v>
      </c>
      <c r="H210" s="4">
        <v>3</v>
      </c>
      <c r="I210" s="9">
        <v>94</v>
      </c>
      <c r="J210" s="3">
        <f t="shared" si="3"/>
        <v>1266</v>
      </c>
      <c r="K210" t="s">
        <v>590</v>
      </c>
    </row>
    <row r="211" spans="1:11" x14ac:dyDescent="0.3">
      <c r="A211" s="4" t="s">
        <v>218</v>
      </c>
      <c r="B211" s="5">
        <v>45115</v>
      </c>
      <c r="C211" s="9" t="s">
        <v>509</v>
      </c>
      <c r="D211" s="4" t="s">
        <v>526</v>
      </c>
      <c r="E211" s="4" t="s">
        <v>577</v>
      </c>
      <c r="F211" s="4" t="s">
        <v>583</v>
      </c>
      <c r="G211" s="9">
        <v>902</v>
      </c>
      <c r="H211" s="4">
        <v>4</v>
      </c>
      <c r="I211" s="9">
        <v>179</v>
      </c>
      <c r="J211" s="3">
        <f t="shared" si="3"/>
        <v>3608</v>
      </c>
      <c r="K211" t="s">
        <v>596</v>
      </c>
    </row>
    <row r="212" spans="1:11" x14ac:dyDescent="0.3">
      <c r="A212" s="4" t="s">
        <v>219</v>
      </c>
      <c r="B212" s="5">
        <v>45281</v>
      </c>
      <c r="C212" s="9" t="s">
        <v>512</v>
      </c>
      <c r="D212" s="4" t="s">
        <v>532</v>
      </c>
      <c r="E212" s="4" t="s">
        <v>544</v>
      </c>
      <c r="F212" s="4" t="s">
        <v>585</v>
      </c>
      <c r="G212" s="9">
        <v>1020</v>
      </c>
      <c r="H212" s="4">
        <v>5</v>
      </c>
      <c r="I212" s="9">
        <v>105</v>
      </c>
      <c r="J212" s="3">
        <f t="shared" si="3"/>
        <v>5100</v>
      </c>
      <c r="K212" t="s">
        <v>594</v>
      </c>
    </row>
    <row r="213" spans="1:11" x14ac:dyDescent="0.3">
      <c r="A213" s="4" t="s">
        <v>220</v>
      </c>
      <c r="B213" s="5">
        <v>45235</v>
      </c>
      <c r="C213" s="9" t="s">
        <v>509</v>
      </c>
      <c r="D213" s="4" t="s">
        <v>516</v>
      </c>
      <c r="E213" s="4" t="s">
        <v>562</v>
      </c>
      <c r="F213" s="4" t="s">
        <v>586</v>
      </c>
      <c r="G213" s="9">
        <v>1990</v>
      </c>
      <c r="H213" s="4">
        <v>2</v>
      </c>
      <c r="I213" s="9">
        <v>316</v>
      </c>
      <c r="J213" s="3">
        <f t="shared" si="3"/>
        <v>3980</v>
      </c>
      <c r="K213" t="s">
        <v>590</v>
      </c>
    </row>
    <row r="214" spans="1:11" x14ac:dyDescent="0.3">
      <c r="A214" s="4" t="s">
        <v>221</v>
      </c>
      <c r="B214" s="5">
        <v>45265</v>
      </c>
      <c r="C214" s="9" t="s">
        <v>510</v>
      </c>
      <c r="D214" s="4" t="s">
        <v>515</v>
      </c>
      <c r="E214" s="4" t="s">
        <v>570</v>
      </c>
      <c r="F214" s="4" t="s">
        <v>586</v>
      </c>
      <c r="G214" s="9">
        <v>626</v>
      </c>
      <c r="H214" s="4">
        <v>4</v>
      </c>
      <c r="I214" s="9">
        <v>106</v>
      </c>
      <c r="J214" s="3">
        <f t="shared" si="3"/>
        <v>2504</v>
      </c>
      <c r="K214" t="s">
        <v>594</v>
      </c>
    </row>
    <row r="215" spans="1:11" x14ac:dyDescent="0.3">
      <c r="A215" s="4" t="s">
        <v>222</v>
      </c>
      <c r="B215" s="5">
        <v>45155</v>
      </c>
      <c r="C215" s="9" t="s">
        <v>512</v>
      </c>
      <c r="D215" s="4" t="s">
        <v>523</v>
      </c>
      <c r="E215" s="4" t="s">
        <v>571</v>
      </c>
      <c r="F215" s="4" t="s">
        <v>584</v>
      </c>
      <c r="G215" s="9">
        <v>132</v>
      </c>
      <c r="H215" s="4">
        <v>3</v>
      </c>
      <c r="I215" s="9">
        <v>22</v>
      </c>
      <c r="J215" s="3">
        <f t="shared" si="3"/>
        <v>396</v>
      </c>
      <c r="K215" t="s">
        <v>591</v>
      </c>
    </row>
    <row r="216" spans="1:11" x14ac:dyDescent="0.3">
      <c r="A216" s="4" t="s">
        <v>223</v>
      </c>
      <c r="B216" s="5">
        <v>45270</v>
      </c>
      <c r="C216" s="9" t="s">
        <v>512</v>
      </c>
      <c r="D216" s="4" t="s">
        <v>532</v>
      </c>
      <c r="E216" s="4" t="s">
        <v>551</v>
      </c>
      <c r="F216" s="4" t="s">
        <v>586</v>
      </c>
      <c r="G216" s="9">
        <v>1293</v>
      </c>
      <c r="H216" s="4">
        <v>3</v>
      </c>
      <c r="I216" s="9">
        <v>197</v>
      </c>
      <c r="J216" s="3">
        <f t="shared" si="3"/>
        <v>3879</v>
      </c>
      <c r="K216" t="s">
        <v>594</v>
      </c>
    </row>
    <row r="217" spans="1:11" x14ac:dyDescent="0.3">
      <c r="A217" s="4" t="s">
        <v>224</v>
      </c>
      <c r="B217" s="5">
        <v>45274</v>
      </c>
      <c r="C217" s="9" t="s">
        <v>511</v>
      </c>
      <c r="D217" s="4" t="s">
        <v>524</v>
      </c>
      <c r="E217" s="4" t="s">
        <v>556</v>
      </c>
      <c r="F217" s="4" t="s">
        <v>585</v>
      </c>
      <c r="G217" s="9">
        <v>1573</v>
      </c>
      <c r="H217" s="4">
        <v>1</v>
      </c>
      <c r="I217" s="9">
        <v>118</v>
      </c>
      <c r="J217" s="3">
        <f t="shared" si="3"/>
        <v>1573</v>
      </c>
      <c r="K217" t="s">
        <v>594</v>
      </c>
    </row>
    <row r="218" spans="1:11" x14ac:dyDescent="0.3">
      <c r="A218" s="4" t="s">
        <v>225</v>
      </c>
      <c r="B218" s="5">
        <v>45217</v>
      </c>
      <c r="C218" s="9" t="s">
        <v>511</v>
      </c>
      <c r="D218" s="4" t="s">
        <v>529</v>
      </c>
      <c r="E218" s="4" t="s">
        <v>537</v>
      </c>
      <c r="F218" s="4" t="s">
        <v>583</v>
      </c>
      <c r="G218" s="9">
        <v>113</v>
      </c>
      <c r="H218" s="4">
        <v>2</v>
      </c>
      <c r="I218" s="9">
        <v>21</v>
      </c>
      <c r="J218" s="3">
        <f t="shared" si="3"/>
        <v>226</v>
      </c>
      <c r="K218" t="s">
        <v>597</v>
      </c>
    </row>
    <row r="219" spans="1:11" x14ac:dyDescent="0.3">
      <c r="A219" s="4" t="s">
        <v>226</v>
      </c>
      <c r="B219" s="5">
        <v>44966</v>
      </c>
      <c r="C219" s="9" t="s">
        <v>510</v>
      </c>
      <c r="D219" s="4" t="s">
        <v>528</v>
      </c>
      <c r="E219" s="4" t="s">
        <v>559</v>
      </c>
      <c r="F219" s="4" t="s">
        <v>584</v>
      </c>
      <c r="G219" s="9">
        <v>1169</v>
      </c>
      <c r="H219" s="4">
        <v>5</v>
      </c>
      <c r="I219" s="9">
        <v>144</v>
      </c>
      <c r="J219" s="3">
        <f t="shared" si="3"/>
        <v>5845</v>
      </c>
      <c r="K219" t="s">
        <v>592</v>
      </c>
    </row>
    <row r="220" spans="1:11" x14ac:dyDescent="0.3">
      <c r="A220" s="4" t="s">
        <v>227</v>
      </c>
      <c r="B220" s="5">
        <v>44940</v>
      </c>
      <c r="C220" s="9" t="s">
        <v>510</v>
      </c>
      <c r="D220" s="4" t="s">
        <v>528</v>
      </c>
      <c r="E220" s="4" t="s">
        <v>577</v>
      </c>
      <c r="F220" s="4" t="s">
        <v>585</v>
      </c>
      <c r="G220" s="9">
        <v>1484</v>
      </c>
      <c r="H220" s="4">
        <v>4</v>
      </c>
      <c r="I220" s="9">
        <v>227</v>
      </c>
      <c r="J220" s="3">
        <f t="shared" si="3"/>
        <v>5936</v>
      </c>
      <c r="K220" t="s">
        <v>589</v>
      </c>
    </row>
    <row r="221" spans="1:11" x14ac:dyDescent="0.3">
      <c r="A221" s="4" t="s">
        <v>228</v>
      </c>
      <c r="B221" s="5">
        <v>45155</v>
      </c>
      <c r="C221" s="9" t="s">
        <v>509</v>
      </c>
      <c r="D221" s="4" t="s">
        <v>526</v>
      </c>
      <c r="E221" s="4" t="s">
        <v>535</v>
      </c>
      <c r="F221" s="4" t="s">
        <v>583</v>
      </c>
      <c r="G221" s="9">
        <v>468</v>
      </c>
      <c r="H221" s="4">
        <v>5</v>
      </c>
      <c r="I221" s="9">
        <v>50</v>
      </c>
      <c r="J221" s="3">
        <f t="shared" si="3"/>
        <v>2340</v>
      </c>
      <c r="K221" t="s">
        <v>591</v>
      </c>
    </row>
    <row r="222" spans="1:11" x14ac:dyDescent="0.3">
      <c r="A222" s="4" t="s">
        <v>229</v>
      </c>
      <c r="B222" s="5">
        <v>44964</v>
      </c>
      <c r="C222" s="9" t="s">
        <v>512</v>
      </c>
      <c r="D222" s="4" t="s">
        <v>523</v>
      </c>
      <c r="E222" s="4" t="s">
        <v>545</v>
      </c>
      <c r="F222" s="4" t="s">
        <v>586</v>
      </c>
      <c r="G222" s="9">
        <v>931</v>
      </c>
      <c r="H222" s="4">
        <v>4</v>
      </c>
      <c r="I222" s="9">
        <v>232</v>
      </c>
      <c r="J222" s="3">
        <f t="shared" si="3"/>
        <v>3724</v>
      </c>
      <c r="K222" t="s">
        <v>592</v>
      </c>
    </row>
    <row r="223" spans="1:11" x14ac:dyDescent="0.3">
      <c r="A223" s="4" t="s">
        <v>230</v>
      </c>
      <c r="B223" s="5">
        <v>45204</v>
      </c>
      <c r="C223" s="9" t="s">
        <v>510</v>
      </c>
      <c r="D223" s="4" t="s">
        <v>528</v>
      </c>
      <c r="E223" s="4" t="s">
        <v>561</v>
      </c>
      <c r="F223" s="4" t="s">
        <v>586</v>
      </c>
      <c r="G223" s="9">
        <v>616</v>
      </c>
      <c r="H223" s="4">
        <v>3</v>
      </c>
      <c r="I223" s="9">
        <v>135</v>
      </c>
      <c r="J223" s="3">
        <f t="shared" si="3"/>
        <v>1848</v>
      </c>
      <c r="K223" t="s">
        <v>597</v>
      </c>
    </row>
    <row r="224" spans="1:11" x14ac:dyDescent="0.3">
      <c r="A224" s="4" t="s">
        <v>231</v>
      </c>
      <c r="B224" s="5">
        <v>45029</v>
      </c>
      <c r="C224" s="9" t="s">
        <v>511</v>
      </c>
      <c r="D224" s="4" t="s">
        <v>529</v>
      </c>
      <c r="E224" s="4" t="s">
        <v>577</v>
      </c>
      <c r="F224" s="4" t="s">
        <v>585</v>
      </c>
      <c r="G224" s="9">
        <v>1594</v>
      </c>
      <c r="H224" s="4">
        <v>2</v>
      </c>
      <c r="I224" s="9">
        <v>331</v>
      </c>
      <c r="J224" s="3">
        <f t="shared" si="3"/>
        <v>3188</v>
      </c>
      <c r="K224" t="s">
        <v>588</v>
      </c>
    </row>
    <row r="225" spans="1:11" x14ac:dyDescent="0.3">
      <c r="A225" s="4" t="s">
        <v>232</v>
      </c>
      <c r="B225" s="5">
        <v>45209</v>
      </c>
      <c r="C225" s="9" t="s">
        <v>509</v>
      </c>
      <c r="D225" s="4" t="s">
        <v>526</v>
      </c>
      <c r="E225" s="4" t="s">
        <v>568</v>
      </c>
      <c r="F225" s="4" t="s">
        <v>583</v>
      </c>
      <c r="G225" s="9">
        <v>303</v>
      </c>
      <c r="H225" s="4">
        <v>1</v>
      </c>
      <c r="I225" s="9">
        <v>19</v>
      </c>
      <c r="J225" s="3">
        <f t="shared" si="3"/>
        <v>303</v>
      </c>
      <c r="K225" t="s">
        <v>597</v>
      </c>
    </row>
    <row r="226" spans="1:11" x14ac:dyDescent="0.3">
      <c r="A226" s="4" t="s">
        <v>233</v>
      </c>
      <c r="B226" s="5">
        <v>45136</v>
      </c>
      <c r="C226" s="9" t="s">
        <v>512</v>
      </c>
      <c r="D226" s="4" t="s">
        <v>521</v>
      </c>
      <c r="E226" s="4" t="s">
        <v>542</v>
      </c>
      <c r="F226" s="4" t="s">
        <v>584</v>
      </c>
      <c r="G226" s="9">
        <v>1655</v>
      </c>
      <c r="H226" s="4">
        <v>1</v>
      </c>
      <c r="I226" s="9">
        <v>124</v>
      </c>
      <c r="J226" s="3">
        <f t="shared" si="3"/>
        <v>1655</v>
      </c>
      <c r="K226" t="s">
        <v>596</v>
      </c>
    </row>
    <row r="227" spans="1:11" x14ac:dyDescent="0.3">
      <c r="A227" s="4" t="s">
        <v>234</v>
      </c>
      <c r="B227" s="5">
        <v>45275</v>
      </c>
      <c r="C227" s="9" t="s">
        <v>510</v>
      </c>
      <c r="D227" s="4" t="s">
        <v>515</v>
      </c>
      <c r="E227" s="4" t="s">
        <v>568</v>
      </c>
      <c r="F227" s="4" t="s">
        <v>584</v>
      </c>
      <c r="G227" s="9">
        <v>1058</v>
      </c>
      <c r="H227" s="4">
        <v>2</v>
      </c>
      <c r="I227" s="9">
        <v>238</v>
      </c>
      <c r="J227" s="3">
        <f t="shared" si="3"/>
        <v>2116</v>
      </c>
      <c r="K227" t="s">
        <v>594</v>
      </c>
    </row>
    <row r="228" spans="1:11" x14ac:dyDescent="0.3">
      <c r="A228" s="4" t="s">
        <v>235</v>
      </c>
      <c r="B228" s="5">
        <v>44955</v>
      </c>
      <c r="C228" s="9" t="s">
        <v>511</v>
      </c>
      <c r="D228" s="4" t="s">
        <v>520</v>
      </c>
      <c r="E228" s="4" t="s">
        <v>543</v>
      </c>
      <c r="F228" s="4" t="s">
        <v>584</v>
      </c>
      <c r="G228" s="9">
        <v>1671</v>
      </c>
      <c r="H228" s="4">
        <v>5</v>
      </c>
      <c r="I228" s="9">
        <v>134</v>
      </c>
      <c r="J228" s="3">
        <f t="shared" si="3"/>
        <v>8355</v>
      </c>
      <c r="K228" t="s">
        <v>589</v>
      </c>
    </row>
    <row r="229" spans="1:11" x14ac:dyDescent="0.3">
      <c r="A229" s="4" t="s">
        <v>236</v>
      </c>
      <c r="B229" s="5">
        <v>45042</v>
      </c>
      <c r="C229" s="9" t="s">
        <v>511</v>
      </c>
      <c r="D229" s="4" t="s">
        <v>520</v>
      </c>
      <c r="E229" s="4" t="s">
        <v>535</v>
      </c>
      <c r="F229" s="4" t="s">
        <v>583</v>
      </c>
      <c r="G229" s="9">
        <v>724</v>
      </c>
      <c r="H229" s="4">
        <v>5</v>
      </c>
      <c r="I229" s="9">
        <v>165</v>
      </c>
      <c r="J229" s="3">
        <f t="shared" si="3"/>
        <v>3620</v>
      </c>
      <c r="K229" t="s">
        <v>588</v>
      </c>
    </row>
    <row r="230" spans="1:11" x14ac:dyDescent="0.3">
      <c r="A230" s="4" t="s">
        <v>237</v>
      </c>
      <c r="B230" s="5">
        <v>45209</v>
      </c>
      <c r="C230" s="9" t="s">
        <v>509</v>
      </c>
      <c r="D230" s="4" t="s">
        <v>526</v>
      </c>
      <c r="E230" s="4" t="s">
        <v>569</v>
      </c>
      <c r="F230" s="4" t="s">
        <v>585</v>
      </c>
      <c r="G230" s="9">
        <v>585</v>
      </c>
      <c r="H230" s="4">
        <v>3</v>
      </c>
      <c r="I230" s="9">
        <v>101</v>
      </c>
      <c r="J230" s="3">
        <f t="shared" si="3"/>
        <v>1755</v>
      </c>
      <c r="K230" t="s">
        <v>597</v>
      </c>
    </row>
    <row r="231" spans="1:11" x14ac:dyDescent="0.3">
      <c r="A231" s="4" t="s">
        <v>238</v>
      </c>
      <c r="B231" s="5">
        <v>45224</v>
      </c>
      <c r="C231" s="9" t="s">
        <v>509</v>
      </c>
      <c r="D231" s="4" t="s">
        <v>514</v>
      </c>
      <c r="E231" s="4" t="s">
        <v>539</v>
      </c>
      <c r="F231" s="4" t="s">
        <v>585</v>
      </c>
      <c r="G231" s="9">
        <v>350</v>
      </c>
      <c r="H231" s="4">
        <v>5</v>
      </c>
      <c r="I231" s="9">
        <v>68</v>
      </c>
      <c r="J231" s="3">
        <f t="shared" si="3"/>
        <v>1750</v>
      </c>
      <c r="K231" t="s">
        <v>597</v>
      </c>
    </row>
    <row r="232" spans="1:11" x14ac:dyDescent="0.3">
      <c r="A232" s="4" t="s">
        <v>239</v>
      </c>
      <c r="B232" s="5">
        <v>44968</v>
      </c>
      <c r="C232" s="9" t="s">
        <v>510</v>
      </c>
      <c r="D232" s="4" t="s">
        <v>517</v>
      </c>
      <c r="E232" s="4" t="s">
        <v>582</v>
      </c>
      <c r="F232" s="4" t="s">
        <v>586</v>
      </c>
      <c r="G232" s="9">
        <v>138</v>
      </c>
      <c r="H232" s="4">
        <v>5</v>
      </c>
      <c r="I232" s="9">
        <v>14</v>
      </c>
      <c r="J232" s="3">
        <f t="shared" si="3"/>
        <v>690</v>
      </c>
      <c r="K232" t="s">
        <v>592</v>
      </c>
    </row>
    <row r="233" spans="1:11" x14ac:dyDescent="0.3">
      <c r="A233" s="4" t="s">
        <v>240</v>
      </c>
      <c r="B233" s="5">
        <v>45254</v>
      </c>
      <c r="C233" s="9" t="s">
        <v>511</v>
      </c>
      <c r="D233" s="4" t="s">
        <v>527</v>
      </c>
      <c r="E233" s="4" t="s">
        <v>557</v>
      </c>
      <c r="F233" s="4" t="s">
        <v>584</v>
      </c>
      <c r="G233" s="9">
        <v>109</v>
      </c>
      <c r="H233" s="4">
        <v>5</v>
      </c>
      <c r="I233" s="9">
        <v>11</v>
      </c>
      <c r="J233" s="3">
        <f t="shared" si="3"/>
        <v>545</v>
      </c>
      <c r="K233" t="s">
        <v>590</v>
      </c>
    </row>
    <row r="234" spans="1:11" x14ac:dyDescent="0.3">
      <c r="A234" s="4" t="s">
        <v>241</v>
      </c>
      <c r="B234" s="5">
        <v>45134</v>
      </c>
      <c r="C234" s="9" t="s">
        <v>510</v>
      </c>
      <c r="D234" s="4" t="s">
        <v>525</v>
      </c>
      <c r="E234" s="4" t="s">
        <v>549</v>
      </c>
      <c r="F234" s="4" t="s">
        <v>585</v>
      </c>
      <c r="G234" s="9">
        <v>630</v>
      </c>
      <c r="H234" s="4">
        <v>1</v>
      </c>
      <c r="I234" s="9">
        <v>118</v>
      </c>
      <c r="J234" s="3">
        <f t="shared" si="3"/>
        <v>630</v>
      </c>
      <c r="K234" t="s">
        <v>596</v>
      </c>
    </row>
    <row r="235" spans="1:11" x14ac:dyDescent="0.3">
      <c r="A235" s="4" t="s">
        <v>242</v>
      </c>
      <c r="B235" s="5">
        <v>45164</v>
      </c>
      <c r="C235" s="9" t="s">
        <v>511</v>
      </c>
      <c r="D235" s="4" t="s">
        <v>531</v>
      </c>
      <c r="E235" s="4" t="s">
        <v>563</v>
      </c>
      <c r="F235" s="4" t="s">
        <v>584</v>
      </c>
      <c r="G235" s="9">
        <v>447</v>
      </c>
      <c r="H235" s="4">
        <v>5</v>
      </c>
      <c r="I235" s="9">
        <v>35</v>
      </c>
      <c r="J235" s="3">
        <f t="shared" si="3"/>
        <v>2235</v>
      </c>
      <c r="K235" t="s">
        <v>591</v>
      </c>
    </row>
    <row r="236" spans="1:11" x14ac:dyDescent="0.3">
      <c r="A236" s="4" t="s">
        <v>243</v>
      </c>
      <c r="B236" s="5">
        <v>45116</v>
      </c>
      <c r="C236" s="9" t="s">
        <v>510</v>
      </c>
      <c r="D236" s="4" t="s">
        <v>528</v>
      </c>
      <c r="E236" s="4" t="s">
        <v>545</v>
      </c>
      <c r="F236" s="4" t="s">
        <v>584</v>
      </c>
      <c r="G236" s="9">
        <v>1054</v>
      </c>
      <c r="H236" s="4">
        <v>1</v>
      </c>
      <c r="I236" s="9">
        <v>119</v>
      </c>
      <c r="J236" s="3">
        <f t="shared" si="3"/>
        <v>1054</v>
      </c>
      <c r="K236" t="s">
        <v>596</v>
      </c>
    </row>
    <row r="237" spans="1:11" x14ac:dyDescent="0.3">
      <c r="A237" s="4" t="s">
        <v>244</v>
      </c>
      <c r="B237" s="5">
        <v>45053</v>
      </c>
      <c r="C237" s="9" t="s">
        <v>512</v>
      </c>
      <c r="D237" s="4" t="s">
        <v>522</v>
      </c>
      <c r="E237" s="4" t="s">
        <v>576</v>
      </c>
      <c r="F237" s="4" t="s">
        <v>583</v>
      </c>
      <c r="G237" s="9">
        <v>324</v>
      </c>
      <c r="H237" s="4">
        <v>1</v>
      </c>
      <c r="I237" s="9">
        <v>35</v>
      </c>
      <c r="J237" s="3">
        <f t="shared" si="3"/>
        <v>324</v>
      </c>
      <c r="K237" t="s">
        <v>593</v>
      </c>
    </row>
    <row r="238" spans="1:11" x14ac:dyDescent="0.3">
      <c r="A238" s="4" t="s">
        <v>245</v>
      </c>
      <c r="B238" s="5">
        <v>45008</v>
      </c>
      <c r="C238" s="9" t="s">
        <v>512</v>
      </c>
      <c r="D238" s="4" t="s">
        <v>530</v>
      </c>
      <c r="E238" s="4" t="s">
        <v>533</v>
      </c>
      <c r="F238" s="4" t="s">
        <v>584</v>
      </c>
      <c r="G238" s="9">
        <v>1636</v>
      </c>
      <c r="H238" s="4">
        <v>5</v>
      </c>
      <c r="I238" s="9">
        <v>317</v>
      </c>
      <c r="J238" s="3">
        <f t="shared" si="3"/>
        <v>8180</v>
      </c>
      <c r="K238" t="s">
        <v>598</v>
      </c>
    </row>
    <row r="239" spans="1:11" x14ac:dyDescent="0.3">
      <c r="A239" s="4" t="s">
        <v>246</v>
      </c>
      <c r="B239" s="5">
        <v>45166</v>
      </c>
      <c r="C239" s="9" t="s">
        <v>511</v>
      </c>
      <c r="D239" s="4" t="s">
        <v>520</v>
      </c>
      <c r="E239" s="4" t="s">
        <v>543</v>
      </c>
      <c r="F239" s="4" t="s">
        <v>584</v>
      </c>
      <c r="G239" s="9">
        <v>1022</v>
      </c>
      <c r="H239" s="4">
        <v>3</v>
      </c>
      <c r="I239" s="9">
        <v>152</v>
      </c>
      <c r="J239" s="3">
        <f t="shared" si="3"/>
        <v>3066</v>
      </c>
      <c r="K239" t="s">
        <v>591</v>
      </c>
    </row>
    <row r="240" spans="1:11" x14ac:dyDescent="0.3">
      <c r="A240" s="4" t="s">
        <v>247</v>
      </c>
      <c r="B240" s="5">
        <v>45037</v>
      </c>
      <c r="C240" s="9" t="s">
        <v>509</v>
      </c>
      <c r="D240" s="4" t="s">
        <v>516</v>
      </c>
      <c r="E240" s="4" t="s">
        <v>533</v>
      </c>
      <c r="F240" s="4" t="s">
        <v>584</v>
      </c>
      <c r="G240" s="9">
        <v>1187</v>
      </c>
      <c r="H240" s="4">
        <v>1</v>
      </c>
      <c r="I240" s="9">
        <v>71</v>
      </c>
      <c r="J240" s="3">
        <f t="shared" si="3"/>
        <v>1187</v>
      </c>
      <c r="K240" t="s">
        <v>588</v>
      </c>
    </row>
    <row r="241" spans="1:11" x14ac:dyDescent="0.3">
      <c r="A241" s="4" t="s">
        <v>248</v>
      </c>
      <c r="B241" s="5">
        <v>45201</v>
      </c>
      <c r="C241" s="9" t="s">
        <v>512</v>
      </c>
      <c r="D241" s="4" t="s">
        <v>530</v>
      </c>
      <c r="E241" s="4" t="s">
        <v>554</v>
      </c>
      <c r="F241" s="4" t="s">
        <v>584</v>
      </c>
      <c r="G241" s="9">
        <v>65</v>
      </c>
      <c r="H241" s="4">
        <v>1</v>
      </c>
      <c r="I241" s="9">
        <v>8</v>
      </c>
      <c r="J241" s="3">
        <f t="shared" si="3"/>
        <v>65</v>
      </c>
      <c r="K241" t="s">
        <v>597</v>
      </c>
    </row>
    <row r="242" spans="1:11" x14ac:dyDescent="0.3">
      <c r="A242" s="4" t="s">
        <v>249</v>
      </c>
      <c r="B242" s="5">
        <v>44950</v>
      </c>
      <c r="C242" s="9" t="s">
        <v>510</v>
      </c>
      <c r="D242" s="4" t="s">
        <v>528</v>
      </c>
      <c r="E242" s="4" t="s">
        <v>564</v>
      </c>
      <c r="F242" s="4" t="s">
        <v>584</v>
      </c>
      <c r="G242" s="9">
        <v>831</v>
      </c>
      <c r="H242" s="4">
        <v>5</v>
      </c>
      <c r="I242" s="9">
        <v>134</v>
      </c>
      <c r="J242" s="3">
        <f t="shared" si="3"/>
        <v>4155</v>
      </c>
      <c r="K242" t="s">
        <v>589</v>
      </c>
    </row>
    <row r="243" spans="1:11" x14ac:dyDescent="0.3">
      <c r="A243" s="4" t="s">
        <v>250</v>
      </c>
      <c r="B243" s="5">
        <v>45124</v>
      </c>
      <c r="C243" s="9" t="s">
        <v>510</v>
      </c>
      <c r="D243" s="4" t="s">
        <v>517</v>
      </c>
      <c r="E243" s="4" t="s">
        <v>551</v>
      </c>
      <c r="F243" s="4" t="s">
        <v>583</v>
      </c>
      <c r="G243" s="9">
        <v>1033</v>
      </c>
      <c r="H243" s="4">
        <v>5</v>
      </c>
      <c r="I243" s="9">
        <v>109</v>
      </c>
      <c r="J243" s="3">
        <f t="shared" si="3"/>
        <v>5165</v>
      </c>
      <c r="K243" t="s">
        <v>596</v>
      </c>
    </row>
    <row r="244" spans="1:11" x14ac:dyDescent="0.3">
      <c r="A244" s="4" t="s">
        <v>251</v>
      </c>
      <c r="B244" s="5">
        <v>45118</v>
      </c>
      <c r="C244" s="9" t="s">
        <v>509</v>
      </c>
      <c r="D244" s="4" t="s">
        <v>518</v>
      </c>
      <c r="E244" s="4" t="s">
        <v>538</v>
      </c>
      <c r="F244" s="4" t="s">
        <v>586</v>
      </c>
      <c r="G244" s="9">
        <v>1600</v>
      </c>
      <c r="H244" s="4">
        <v>3</v>
      </c>
      <c r="I244" s="9">
        <v>258</v>
      </c>
      <c r="J244" s="3">
        <f t="shared" si="3"/>
        <v>4800</v>
      </c>
      <c r="K244" t="s">
        <v>596</v>
      </c>
    </row>
    <row r="245" spans="1:11" x14ac:dyDescent="0.3">
      <c r="A245" s="4" t="s">
        <v>252</v>
      </c>
      <c r="B245" s="5">
        <v>45187</v>
      </c>
      <c r="C245" s="9" t="s">
        <v>510</v>
      </c>
      <c r="D245" s="4" t="s">
        <v>519</v>
      </c>
      <c r="E245" s="4" t="s">
        <v>556</v>
      </c>
      <c r="F245" s="4" t="s">
        <v>585</v>
      </c>
      <c r="G245" s="9">
        <v>832</v>
      </c>
      <c r="H245" s="4">
        <v>1</v>
      </c>
      <c r="I245" s="9">
        <v>49</v>
      </c>
      <c r="J245" s="3">
        <f t="shared" si="3"/>
        <v>832</v>
      </c>
      <c r="K245" t="s">
        <v>599</v>
      </c>
    </row>
    <row r="246" spans="1:11" x14ac:dyDescent="0.3">
      <c r="A246" s="4" t="s">
        <v>253</v>
      </c>
      <c r="B246" s="5">
        <v>45160</v>
      </c>
      <c r="C246" s="9" t="s">
        <v>511</v>
      </c>
      <c r="D246" s="4" t="s">
        <v>529</v>
      </c>
      <c r="E246" s="4" t="s">
        <v>541</v>
      </c>
      <c r="F246" s="4" t="s">
        <v>584</v>
      </c>
      <c r="G246" s="9">
        <v>340</v>
      </c>
      <c r="H246" s="4">
        <v>5</v>
      </c>
      <c r="I246" s="9">
        <v>26</v>
      </c>
      <c r="J246" s="3">
        <f t="shared" si="3"/>
        <v>1700</v>
      </c>
      <c r="K246" t="s">
        <v>591</v>
      </c>
    </row>
    <row r="247" spans="1:11" x14ac:dyDescent="0.3">
      <c r="A247" s="4" t="s">
        <v>254</v>
      </c>
      <c r="B247" s="5">
        <v>45080</v>
      </c>
      <c r="C247" s="9" t="s">
        <v>510</v>
      </c>
      <c r="D247" s="4" t="s">
        <v>519</v>
      </c>
      <c r="E247" s="4" t="s">
        <v>557</v>
      </c>
      <c r="F247" s="4" t="s">
        <v>584</v>
      </c>
      <c r="G247" s="9">
        <v>1207</v>
      </c>
      <c r="H247" s="4">
        <v>5</v>
      </c>
      <c r="I247" s="9">
        <v>260</v>
      </c>
      <c r="J247" s="3">
        <f t="shared" si="3"/>
        <v>6035</v>
      </c>
      <c r="K247" t="s">
        <v>595</v>
      </c>
    </row>
    <row r="248" spans="1:11" x14ac:dyDescent="0.3">
      <c r="A248" s="4" t="s">
        <v>255</v>
      </c>
      <c r="B248" s="5">
        <v>44935</v>
      </c>
      <c r="C248" s="9" t="s">
        <v>512</v>
      </c>
      <c r="D248" s="4" t="s">
        <v>530</v>
      </c>
      <c r="E248" s="4" t="s">
        <v>563</v>
      </c>
      <c r="F248" s="4" t="s">
        <v>583</v>
      </c>
      <c r="G248" s="9">
        <v>768</v>
      </c>
      <c r="H248" s="4">
        <v>1</v>
      </c>
      <c r="I248" s="9">
        <v>188</v>
      </c>
      <c r="J248" s="3">
        <f t="shared" si="3"/>
        <v>768</v>
      </c>
      <c r="K248" t="s">
        <v>589</v>
      </c>
    </row>
    <row r="249" spans="1:11" x14ac:dyDescent="0.3">
      <c r="A249" s="4" t="s">
        <v>256</v>
      </c>
      <c r="B249" s="5">
        <v>45262</v>
      </c>
      <c r="C249" s="9" t="s">
        <v>510</v>
      </c>
      <c r="D249" s="4" t="s">
        <v>515</v>
      </c>
      <c r="E249" s="4" t="s">
        <v>560</v>
      </c>
      <c r="F249" s="4" t="s">
        <v>584</v>
      </c>
      <c r="G249" s="9">
        <v>1576</v>
      </c>
      <c r="H249" s="4">
        <v>5</v>
      </c>
      <c r="I249" s="9">
        <v>260</v>
      </c>
      <c r="J249" s="3">
        <f t="shared" si="3"/>
        <v>7880</v>
      </c>
      <c r="K249" t="s">
        <v>594</v>
      </c>
    </row>
    <row r="250" spans="1:11" x14ac:dyDescent="0.3">
      <c r="A250" s="4" t="s">
        <v>257</v>
      </c>
      <c r="B250" s="5">
        <v>45195</v>
      </c>
      <c r="C250" s="9" t="s">
        <v>509</v>
      </c>
      <c r="D250" s="4" t="s">
        <v>514</v>
      </c>
      <c r="E250" s="4" t="s">
        <v>552</v>
      </c>
      <c r="F250" s="4" t="s">
        <v>584</v>
      </c>
      <c r="G250" s="9">
        <v>1276</v>
      </c>
      <c r="H250" s="4">
        <v>5</v>
      </c>
      <c r="I250" s="9">
        <v>261</v>
      </c>
      <c r="J250" s="3">
        <f t="shared" si="3"/>
        <v>6380</v>
      </c>
      <c r="K250" t="s">
        <v>599</v>
      </c>
    </row>
    <row r="251" spans="1:11" x14ac:dyDescent="0.3">
      <c r="A251" s="4" t="s">
        <v>258</v>
      </c>
      <c r="B251" s="5">
        <v>45220</v>
      </c>
      <c r="C251" s="9" t="s">
        <v>512</v>
      </c>
      <c r="D251" s="4" t="s">
        <v>523</v>
      </c>
      <c r="E251" s="4" t="s">
        <v>534</v>
      </c>
      <c r="F251" s="4" t="s">
        <v>585</v>
      </c>
      <c r="G251" s="9">
        <v>1899</v>
      </c>
      <c r="H251" s="4">
        <v>1</v>
      </c>
      <c r="I251" s="9">
        <v>167</v>
      </c>
      <c r="J251" s="3">
        <f t="shared" si="3"/>
        <v>1899</v>
      </c>
      <c r="K251" t="s">
        <v>597</v>
      </c>
    </row>
    <row r="252" spans="1:11" x14ac:dyDescent="0.3">
      <c r="A252" s="4" t="s">
        <v>259</v>
      </c>
      <c r="B252" s="5">
        <v>45138</v>
      </c>
      <c r="C252" s="9" t="s">
        <v>512</v>
      </c>
      <c r="D252" s="4" t="s">
        <v>532</v>
      </c>
      <c r="E252" s="4" t="s">
        <v>540</v>
      </c>
      <c r="F252" s="4" t="s">
        <v>584</v>
      </c>
      <c r="G252" s="9">
        <v>1396</v>
      </c>
      <c r="H252" s="4">
        <v>4</v>
      </c>
      <c r="I252" s="9">
        <v>209</v>
      </c>
      <c r="J252" s="3">
        <f t="shared" si="3"/>
        <v>5584</v>
      </c>
      <c r="K252" t="s">
        <v>596</v>
      </c>
    </row>
    <row r="253" spans="1:11" x14ac:dyDescent="0.3">
      <c r="A253" s="4" t="s">
        <v>260</v>
      </c>
      <c r="B253" s="5">
        <v>45033</v>
      </c>
      <c r="C253" s="9" t="s">
        <v>512</v>
      </c>
      <c r="D253" s="4" t="s">
        <v>522</v>
      </c>
      <c r="E253" s="4" t="s">
        <v>541</v>
      </c>
      <c r="F253" s="4" t="s">
        <v>585</v>
      </c>
      <c r="G253" s="9">
        <v>1143</v>
      </c>
      <c r="H253" s="4">
        <v>4</v>
      </c>
      <c r="I253" s="9">
        <v>177</v>
      </c>
      <c r="J253" s="3">
        <f t="shared" si="3"/>
        <v>4572</v>
      </c>
      <c r="K253" t="s">
        <v>588</v>
      </c>
    </row>
    <row r="254" spans="1:11" x14ac:dyDescent="0.3">
      <c r="A254" s="4" t="s">
        <v>261</v>
      </c>
      <c r="B254" s="5">
        <v>45102</v>
      </c>
      <c r="C254" s="9" t="s">
        <v>510</v>
      </c>
      <c r="D254" s="4" t="s">
        <v>519</v>
      </c>
      <c r="E254" s="4" t="s">
        <v>581</v>
      </c>
      <c r="F254" s="4" t="s">
        <v>584</v>
      </c>
      <c r="G254" s="9">
        <v>1115</v>
      </c>
      <c r="H254" s="4">
        <v>3</v>
      </c>
      <c r="I254" s="9">
        <v>191</v>
      </c>
      <c r="J254" s="3">
        <f t="shared" si="3"/>
        <v>3345</v>
      </c>
      <c r="K254" t="s">
        <v>595</v>
      </c>
    </row>
    <row r="255" spans="1:11" x14ac:dyDescent="0.3">
      <c r="A255" s="4" t="s">
        <v>262</v>
      </c>
      <c r="B255" s="5">
        <v>45079</v>
      </c>
      <c r="C255" s="9" t="s">
        <v>511</v>
      </c>
      <c r="D255" s="4" t="s">
        <v>520</v>
      </c>
      <c r="E255" s="4" t="s">
        <v>561</v>
      </c>
      <c r="F255" s="4" t="s">
        <v>583</v>
      </c>
      <c r="G255" s="9">
        <v>488</v>
      </c>
      <c r="H255" s="4">
        <v>3</v>
      </c>
      <c r="I255" s="9">
        <v>99</v>
      </c>
      <c r="J255" s="3">
        <f t="shared" si="3"/>
        <v>1464</v>
      </c>
      <c r="K255" t="s">
        <v>595</v>
      </c>
    </row>
    <row r="256" spans="1:11" x14ac:dyDescent="0.3">
      <c r="A256" s="4" t="s">
        <v>263</v>
      </c>
      <c r="B256" s="5">
        <v>45105</v>
      </c>
      <c r="C256" s="9" t="s">
        <v>511</v>
      </c>
      <c r="D256" s="4" t="s">
        <v>531</v>
      </c>
      <c r="E256" s="4" t="s">
        <v>563</v>
      </c>
      <c r="F256" s="4" t="s">
        <v>583</v>
      </c>
      <c r="G256" s="9">
        <v>1142</v>
      </c>
      <c r="H256" s="4">
        <v>3</v>
      </c>
      <c r="I256" s="9">
        <v>122</v>
      </c>
      <c r="J256" s="3">
        <f t="shared" si="3"/>
        <v>3426</v>
      </c>
      <c r="K256" t="s">
        <v>595</v>
      </c>
    </row>
    <row r="257" spans="1:11" x14ac:dyDescent="0.3">
      <c r="A257" s="4" t="s">
        <v>264</v>
      </c>
      <c r="B257" s="5">
        <v>45001</v>
      </c>
      <c r="C257" s="9" t="s">
        <v>512</v>
      </c>
      <c r="D257" s="4" t="s">
        <v>521</v>
      </c>
      <c r="E257" s="4" t="s">
        <v>542</v>
      </c>
      <c r="F257" s="4" t="s">
        <v>583</v>
      </c>
      <c r="G257" s="9">
        <v>616</v>
      </c>
      <c r="H257" s="4">
        <v>3</v>
      </c>
      <c r="I257" s="9">
        <v>148</v>
      </c>
      <c r="J257" s="3">
        <f t="shared" si="3"/>
        <v>1848</v>
      </c>
      <c r="K257" t="s">
        <v>598</v>
      </c>
    </row>
    <row r="258" spans="1:11" x14ac:dyDescent="0.3">
      <c r="A258" s="4" t="s">
        <v>265</v>
      </c>
      <c r="B258" s="5">
        <v>45058</v>
      </c>
      <c r="C258" s="9" t="s">
        <v>509</v>
      </c>
      <c r="D258" s="4" t="s">
        <v>526</v>
      </c>
      <c r="E258" s="4" t="s">
        <v>580</v>
      </c>
      <c r="F258" s="4" t="s">
        <v>584</v>
      </c>
      <c r="G258" s="9">
        <v>1507</v>
      </c>
      <c r="H258" s="4">
        <v>2</v>
      </c>
      <c r="I258" s="9">
        <v>136</v>
      </c>
      <c r="J258" s="3">
        <f t="shared" si="3"/>
        <v>3014</v>
      </c>
      <c r="K258" t="s">
        <v>593</v>
      </c>
    </row>
    <row r="259" spans="1:11" x14ac:dyDescent="0.3">
      <c r="A259" s="4" t="s">
        <v>266</v>
      </c>
      <c r="B259" s="5">
        <v>44982</v>
      </c>
      <c r="C259" s="9" t="s">
        <v>510</v>
      </c>
      <c r="D259" s="4" t="s">
        <v>517</v>
      </c>
      <c r="E259" s="4" t="s">
        <v>545</v>
      </c>
      <c r="F259" s="4" t="s">
        <v>583</v>
      </c>
      <c r="G259" s="9">
        <v>1250</v>
      </c>
      <c r="H259" s="4">
        <v>5</v>
      </c>
      <c r="I259" s="9">
        <v>122</v>
      </c>
      <c r="J259" s="3">
        <f t="shared" ref="J259:J322" si="4">H259*G259</f>
        <v>6250</v>
      </c>
      <c r="K259" t="s">
        <v>592</v>
      </c>
    </row>
    <row r="260" spans="1:11" x14ac:dyDescent="0.3">
      <c r="A260" s="4" t="s">
        <v>267</v>
      </c>
      <c r="B260" s="5">
        <v>45046</v>
      </c>
      <c r="C260" s="9" t="s">
        <v>509</v>
      </c>
      <c r="D260" s="4" t="s">
        <v>514</v>
      </c>
      <c r="E260" s="4" t="s">
        <v>569</v>
      </c>
      <c r="F260" s="4" t="s">
        <v>585</v>
      </c>
      <c r="G260" s="9">
        <v>152</v>
      </c>
      <c r="H260" s="4">
        <v>4</v>
      </c>
      <c r="I260" s="9">
        <v>17</v>
      </c>
      <c r="J260" s="3">
        <f t="shared" si="4"/>
        <v>608</v>
      </c>
      <c r="K260" t="s">
        <v>588</v>
      </c>
    </row>
    <row r="261" spans="1:11" x14ac:dyDescent="0.3">
      <c r="A261" s="4" t="s">
        <v>268</v>
      </c>
      <c r="B261" s="5">
        <v>45208</v>
      </c>
      <c r="C261" s="9" t="s">
        <v>512</v>
      </c>
      <c r="D261" s="4" t="s">
        <v>522</v>
      </c>
      <c r="E261" s="4" t="s">
        <v>553</v>
      </c>
      <c r="F261" s="4" t="s">
        <v>585</v>
      </c>
      <c r="G261" s="9">
        <v>1956</v>
      </c>
      <c r="H261" s="4">
        <v>2</v>
      </c>
      <c r="I261" s="9">
        <v>257</v>
      </c>
      <c r="J261" s="3">
        <f t="shared" si="4"/>
        <v>3912</v>
      </c>
      <c r="K261" t="s">
        <v>597</v>
      </c>
    </row>
    <row r="262" spans="1:11" x14ac:dyDescent="0.3">
      <c r="A262" s="4" t="s">
        <v>269</v>
      </c>
      <c r="B262" s="5">
        <v>45074</v>
      </c>
      <c r="C262" s="9" t="s">
        <v>512</v>
      </c>
      <c r="D262" s="4" t="s">
        <v>521</v>
      </c>
      <c r="E262" s="4" t="s">
        <v>559</v>
      </c>
      <c r="F262" s="4" t="s">
        <v>585</v>
      </c>
      <c r="G262" s="9">
        <v>676</v>
      </c>
      <c r="H262" s="4">
        <v>1</v>
      </c>
      <c r="I262" s="9">
        <v>156</v>
      </c>
      <c r="J262" s="3">
        <f t="shared" si="4"/>
        <v>676</v>
      </c>
      <c r="K262" t="s">
        <v>593</v>
      </c>
    </row>
    <row r="263" spans="1:11" x14ac:dyDescent="0.3">
      <c r="A263" s="4" t="s">
        <v>270</v>
      </c>
      <c r="B263" s="5">
        <v>44946</v>
      </c>
      <c r="C263" s="9" t="s">
        <v>509</v>
      </c>
      <c r="D263" s="4" t="s">
        <v>514</v>
      </c>
      <c r="E263" s="4" t="s">
        <v>581</v>
      </c>
      <c r="F263" s="4" t="s">
        <v>585</v>
      </c>
      <c r="G263" s="9">
        <v>1830</v>
      </c>
      <c r="H263" s="4">
        <v>2</v>
      </c>
      <c r="I263" s="9">
        <v>244</v>
      </c>
      <c r="J263" s="3">
        <f t="shared" si="4"/>
        <v>3660</v>
      </c>
      <c r="K263" t="s">
        <v>589</v>
      </c>
    </row>
    <row r="264" spans="1:11" x14ac:dyDescent="0.3">
      <c r="A264" s="4" t="s">
        <v>271</v>
      </c>
      <c r="B264" s="5">
        <v>45022</v>
      </c>
      <c r="C264" s="9" t="s">
        <v>511</v>
      </c>
      <c r="D264" s="4" t="s">
        <v>524</v>
      </c>
      <c r="E264" s="4" t="s">
        <v>544</v>
      </c>
      <c r="F264" s="4" t="s">
        <v>584</v>
      </c>
      <c r="G264" s="9">
        <v>1876</v>
      </c>
      <c r="H264" s="4">
        <v>3</v>
      </c>
      <c r="I264" s="9">
        <v>422</v>
      </c>
      <c r="J264" s="3">
        <f t="shared" si="4"/>
        <v>5628</v>
      </c>
      <c r="K264" t="s">
        <v>588</v>
      </c>
    </row>
    <row r="265" spans="1:11" x14ac:dyDescent="0.3">
      <c r="A265" s="4" t="s">
        <v>272</v>
      </c>
      <c r="B265" s="5">
        <v>45072</v>
      </c>
      <c r="C265" s="9" t="s">
        <v>509</v>
      </c>
      <c r="D265" s="4" t="s">
        <v>526</v>
      </c>
      <c r="E265" s="4" t="s">
        <v>572</v>
      </c>
      <c r="F265" s="4" t="s">
        <v>586</v>
      </c>
      <c r="G265" s="9">
        <v>935</v>
      </c>
      <c r="H265" s="4">
        <v>5</v>
      </c>
      <c r="I265" s="9">
        <v>144</v>
      </c>
      <c r="J265" s="3">
        <f t="shared" si="4"/>
        <v>4675</v>
      </c>
      <c r="K265" t="s">
        <v>593</v>
      </c>
    </row>
    <row r="266" spans="1:11" x14ac:dyDescent="0.3">
      <c r="A266" s="4" t="s">
        <v>273</v>
      </c>
      <c r="B266" s="5">
        <v>45025</v>
      </c>
      <c r="C266" s="9" t="s">
        <v>511</v>
      </c>
      <c r="D266" s="4" t="s">
        <v>527</v>
      </c>
      <c r="E266" s="4" t="s">
        <v>547</v>
      </c>
      <c r="F266" s="4" t="s">
        <v>584</v>
      </c>
      <c r="G266" s="9">
        <v>1627</v>
      </c>
      <c r="H266" s="4">
        <v>3</v>
      </c>
      <c r="I266" s="9">
        <v>134</v>
      </c>
      <c r="J266" s="3">
        <f t="shared" si="4"/>
        <v>4881</v>
      </c>
      <c r="K266" t="s">
        <v>588</v>
      </c>
    </row>
    <row r="267" spans="1:11" x14ac:dyDescent="0.3">
      <c r="A267" s="4" t="s">
        <v>274</v>
      </c>
      <c r="B267" s="5">
        <v>45099</v>
      </c>
      <c r="C267" s="9" t="s">
        <v>512</v>
      </c>
      <c r="D267" s="4" t="s">
        <v>532</v>
      </c>
      <c r="E267" s="4" t="s">
        <v>553</v>
      </c>
      <c r="F267" s="4" t="s">
        <v>585</v>
      </c>
      <c r="G267" s="9">
        <v>1592</v>
      </c>
      <c r="H267" s="4">
        <v>5</v>
      </c>
      <c r="I267" s="9">
        <v>294</v>
      </c>
      <c r="J267" s="3">
        <f t="shared" si="4"/>
        <v>7960</v>
      </c>
      <c r="K267" t="s">
        <v>595</v>
      </c>
    </row>
    <row r="268" spans="1:11" x14ac:dyDescent="0.3">
      <c r="A268" s="4" t="s">
        <v>275</v>
      </c>
      <c r="B268" s="5">
        <v>45190</v>
      </c>
      <c r="C268" s="9" t="s">
        <v>511</v>
      </c>
      <c r="D268" s="4" t="s">
        <v>520</v>
      </c>
      <c r="E268" s="4" t="s">
        <v>562</v>
      </c>
      <c r="F268" s="4" t="s">
        <v>584</v>
      </c>
      <c r="G268" s="9">
        <v>689</v>
      </c>
      <c r="H268" s="4">
        <v>4</v>
      </c>
      <c r="I268" s="9">
        <v>126</v>
      </c>
      <c r="J268" s="3">
        <f t="shared" si="4"/>
        <v>2756</v>
      </c>
      <c r="K268" t="s">
        <v>599</v>
      </c>
    </row>
    <row r="269" spans="1:11" x14ac:dyDescent="0.3">
      <c r="A269" s="4" t="s">
        <v>276</v>
      </c>
      <c r="B269" s="5">
        <v>45054</v>
      </c>
      <c r="C269" s="9" t="s">
        <v>511</v>
      </c>
      <c r="D269" s="4" t="s">
        <v>520</v>
      </c>
      <c r="E269" s="4" t="s">
        <v>570</v>
      </c>
      <c r="F269" s="4" t="s">
        <v>584</v>
      </c>
      <c r="G269" s="9">
        <v>63</v>
      </c>
      <c r="H269" s="4">
        <v>4</v>
      </c>
      <c r="I269" s="9">
        <v>6</v>
      </c>
      <c r="J269" s="3">
        <f t="shared" si="4"/>
        <v>252</v>
      </c>
      <c r="K269" t="s">
        <v>593</v>
      </c>
    </row>
    <row r="270" spans="1:11" x14ac:dyDescent="0.3">
      <c r="A270" s="4" t="s">
        <v>277</v>
      </c>
      <c r="B270" s="5">
        <v>45220</v>
      </c>
      <c r="C270" s="9" t="s">
        <v>510</v>
      </c>
      <c r="D270" s="4" t="s">
        <v>528</v>
      </c>
      <c r="E270" s="4" t="s">
        <v>539</v>
      </c>
      <c r="F270" s="4" t="s">
        <v>583</v>
      </c>
      <c r="G270" s="9">
        <v>72</v>
      </c>
      <c r="H270" s="4">
        <v>3</v>
      </c>
      <c r="I270" s="9">
        <v>13</v>
      </c>
      <c r="J270" s="3">
        <f t="shared" si="4"/>
        <v>216</v>
      </c>
      <c r="K270" t="s">
        <v>597</v>
      </c>
    </row>
    <row r="271" spans="1:11" x14ac:dyDescent="0.3">
      <c r="A271" s="4" t="s">
        <v>278</v>
      </c>
      <c r="B271" s="5">
        <v>45008</v>
      </c>
      <c r="C271" s="9" t="s">
        <v>509</v>
      </c>
      <c r="D271" s="4" t="s">
        <v>513</v>
      </c>
      <c r="E271" s="4" t="s">
        <v>579</v>
      </c>
      <c r="F271" s="4" t="s">
        <v>584</v>
      </c>
      <c r="G271" s="9">
        <v>840</v>
      </c>
      <c r="H271" s="4">
        <v>5</v>
      </c>
      <c r="I271" s="9">
        <v>197</v>
      </c>
      <c r="J271" s="3">
        <f t="shared" si="4"/>
        <v>4200</v>
      </c>
      <c r="K271" t="s">
        <v>598</v>
      </c>
    </row>
    <row r="272" spans="1:11" x14ac:dyDescent="0.3">
      <c r="A272" s="4" t="s">
        <v>279</v>
      </c>
      <c r="B272" s="5">
        <v>45241</v>
      </c>
      <c r="C272" s="9" t="s">
        <v>510</v>
      </c>
      <c r="D272" s="4" t="s">
        <v>515</v>
      </c>
      <c r="E272" s="4" t="s">
        <v>564</v>
      </c>
      <c r="F272" s="4" t="s">
        <v>583</v>
      </c>
      <c r="G272" s="9">
        <v>480</v>
      </c>
      <c r="H272" s="4">
        <v>2</v>
      </c>
      <c r="I272" s="9">
        <v>70</v>
      </c>
      <c r="J272" s="3">
        <f t="shared" si="4"/>
        <v>960</v>
      </c>
      <c r="K272" t="s">
        <v>590</v>
      </c>
    </row>
    <row r="273" spans="1:11" x14ac:dyDescent="0.3">
      <c r="A273" s="4" t="s">
        <v>280</v>
      </c>
      <c r="B273" s="5">
        <v>45286</v>
      </c>
      <c r="C273" s="9" t="s">
        <v>512</v>
      </c>
      <c r="D273" s="4" t="s">
        <v>530</v>
      </c>
      <c r="E273" s="4" t="s">
        <v>548</v>
      </c>
      <c r="F273" s="4" t="s">
        <v>583</v>
      </c>
      <c r="G273" s="9">
        <v>1121</v>
      </c>
      <c r="H273" s="4">
        <v>4</v>
      </c>
      <c r="I273" s="9">
        <v>225</v>
      </c>
      <c r="J273" s="3">
        <f t="shared" si="4"/>
        <v>4484</v>
      </c>
      <c r="K273" t="s">
        <v>594</v>
      </c>
    </row>
    <row r="274" spans="1:11" x14ac:dyDescent="0.3">
      <c r="A274" s="4" t="s">
        <v>281</v>
      </c>
      <c r="B274" s="5">
        <v>45155</v>
      </c>
      <c r="C274" s="9" t="s">
        <v>511</v>
      </c>
      <c r="D274" s="4" t="s">
        <v>520</v>
      </c>
      <c r="E274" s="4" t="s">
        <v>541</v>
      </c>
      <c r="F274" s="4" t="s">
        <v>586</v>
      </c>
      <c r="G274" s="9">
        <v>1079</v>
      </c>
      <c r="H274" s="4">
        <v>3</v>
      </c>
      <c r="I274" s="9">
        <v>70</v>
      </c>
      <c r="J274" s="3">
        <f t="shared" si="4"/>
        <v>3237</v>
      </c>
      <c r="K274" t="s">
        <v>591</v>
      </c>
    </row>
    <row r="275" spans="1:11" x14ac:dyDescent="0.3">
      <c r="A275" s="4" t="s">
        <v>282</v>
      </c>
      <c r="B275" s="5">
        <v>45201</v>
      </c>
      <c r="C275" s="9" t="s">
        <v>509</v>
      </c>
      <c r="D275" s="4" t="s">
        <v>513</v>
      </c>
      <c r="E275" s="4" t="s">
        <v>574</v>
      </c>
      <c r="F275" s="4" t="s">
        <v>585</v>
      </c>
      <c r="G275" s="9">
        <v>342</v>
      </c>
      <c r="H275" s="4">
        <v>3</v>
      </c>
      <c r="I275" s="9">
        <v>75</v>
      </c>
      <c r="J275" s="3">
        <f t="shared" si="4"/>
        <v>1026</v>
      </c>
      <c r="K275" t="s">
        <v>597</v>
      </c>
    </row>
    <row r="276" spans="1:11" x14ac:dyDescent="0.3">
      <c r="A276" s="4" t="s">
        <v>283</v>
      </c>
      <c r="B276" s="5">
        <v>45225</v>
      </c>
      <c r="C276" s="9" t="s">
        <v>512</v>
      </c>
      <c r="D276" s="4" t="s">
        <v>522</v>
      </c>
      <c r="E276" s="4" t="s">
        <v>535</v>
      </c>
      <c r="F276" s="4" t="s">
        <v>585</v>
      </c>
      <c r="G276" s="9">
        <v>1003</v>
      </c>
      <c r="H276" s="4">
        <v>5</v>
      </c>
      <c r="I276" s="9">
        <v>139</v>
      </c>
      <c r="J276" s="3">
        <f t="shared" si="4"/>
        <v>5015</v>
      </c>
      <c r="K276" t="s">
        <v>597</v>
      </c>
    </row>
    <row r="277" spans="1:11" x14ac:dyDescent="0.3">
      <c r="A277" s="4" t="s">
        <v>284</v>
      </c>
      <c r="B277" s="5">
        <v>45139</v>
      </c>
      <c r="C277" s="9" t="s">
        <v>509</v>
      </c>
      <c r="D277" s="4" t="s">
        <v>516</v>
      </c>
      <c r="E277" s="4" t="s">
        <v>543</v>
      </c>
      <c r="F277" s="4" t="s">
        <v>585</v>
      </c>
      <c r="G277" s="9">
        <v>940</v>
      </c>
      <c r="H277" s="4">
        <v>1</v>
      </c>
      <c r="I277" s="9">
        <v>152</v>
      </c>
      <c r="J277" s="3">
        <f t="shared" si="4"/>
        <v>940</v>
      </c>
      <c r="K277" t="s">
        <v>591</v>
      </c>
    </row>
    <row r="278" spans="1:11" x14ac:dyDescent="0.3">
      <c r="A278" s="4" t="s">
        <v>285</v>
      </c>
      <c r="B278" s="5">
        <v>44928</v>
      </c>
      <c r="C278" s="9" t="s">
        <v>510</v>
      </c>
      <c r="D278" s="4" t="s">
        <v>515</v>
      </c>
      <c r="E278" s="4" t="s">
        <v>560</v>
      </c>
      <c r="F278" s="4" t="s">
        <v>584</v>
      </c>
      <c r="G278" s="9">
        <v>1504</v>
      </c>
      <c r="H278" s="4">
        <v>5</v>
      </c>
      <c r="I278" s="9">
        <v>97</v>
      </c>
      <c r="J278" s="3">
        <f t="shared" si="4"/>
        <v>7520</v>
      </c>
      <c r="K278" t="s">
        <v>589</v>
      </c>
    </row>
    <row r="279" spans="1:11" x14ac:dyDescent="0.3">
      <c r="A279" s="4" t="s">
        <v>286</v>
      </c>
      <c r="B279" s="5">
        <v>44957</v>
      </c>
      <c r="C279" s="9" t="s">
        <v>512</v>
      </c>
      <c r="D279" s="4" t="s">
        <v>532</v>
      </c>
      <c r="E279" s="4" t="s">
        <v>581</v>
      </c>
      <c r="F279" s="4" t="s">
        <v>586</v>
      </c>
      <c r="G279" s="9">
        <v>1872</v>
      </c>
      <c r="H279" s="4">
        <v>1</v>
      </c>
      <c r="I279" s="9">
        <v>462</v>
      </c>
      <c r="J279" s="3">
        <f t="shared" si="4"/>
        <v>1872</v>
      </c>
      <c r="K279" t="s">
        <v>589</v>
      </c>
    </row>
    <row r="280" spans="1:11" x14ac:dyDescent="0.3">
      <c r="A280" s="4" t="s">
        <v>287</v>
      </c>
      <c r="B280" s="5">
        <v>45019</v>
      </c>
      <c r="C280" s="9" t="s">
        <v>512</v>
      </c>
      <c r="D280" s="4" t="s">
        <v>522</v>
      </c>
      <c r="E280" s="4" t="s">
        <v>548</v>
      </c>
      <c r="F280" s="4" t="s">
        <v>583</v>
      </c>
      <c r="G280" s="9">
        <v>1549</v>
      </c>
      <c r="H280" s="4">
        <v>4</v>
      </c>
      <c r="I280" s="9">
        <v>193</v>
      </c>
      <c r="J280" s="3">
        <f t="shared" si="4"/>
        <v>6196</v>
      </c>
      <c r="K280" t="s">
        <v>588</v>
      </c>
    </row>
    <row r="281" spans="1:11" x14ac:dyDescent="0.3">
      <c r="A281" s="4" t="s">
        <v>288</v>
      </c>
      <c r="B281" s="5">
        <v>44968</v>
      </c>
      <c r="C281" s="9" t="s">
        <v>512</v>
      </c>
      <c r="D281" s="4" t="s">
        <v>521</v>
      </c>
      <c r="E281" s="4" t="s">
        <v>537</v>
      </c>
      <c r="F281" s="4" t="s">
        <v>584</v>
      </c>
      <c r="G281" s="9">
        <v>1381</v>
      </c>
      <c r="H281" s="4">
        <v>5</v>
      </c>
      <c r="I281" s="9">
        <v>105</v>
      </c>
      <c r="J281" s="3">
        <f t="shared" si="4"/>
        <v>6905</v>
      </c>
      <c r="K281" t="s">
        <v>592</v>
      </c>
    </row>
    <row r="282" spans="1:11" x14ac:dyDescent="0.3">
      <c r="A282" s="4" t="s">
        <v>289</v>
      </c>
      <c r="B282" s="5">
        <v>45128</v>
      </c>
      <c r="C282" s="9" t="s">
        <v>510</v>
      </c>
      <c r="D282" s="4" t="s">
        <v>515</v>
      </c>
      <c r="E282" s="4" t="s">
        <v>581</v>
      </c>
      <c r="F282" s="4" t="s">
        <v>585</v>
      </c>
      <c r="G282" s="9">
        <v>1081</v>
      </c>
      <c r="H282" s="4">
        <v>2</v>
      </c>
      <c r="I282" s="9">
        <v>234</v>
      </c>
      <c r="J282" s="3">
        <f t="shared" si="4"/>
        <v>2162</v>
      </c>
      <c r="K282" t="s">
        <v>596</v>
      </c>
    </row>
    <row r="283" spans="1:11" x14ac:dyDescent="0.3">
      <c r="A283" s="4" t="s">
        <v>290</v>
      </c>
      <c r="B283" s="5">
        <v>45205</v>
      </c>
      <c r="C283" s="9" t="s">
        <v>509</v>
      </c>
      <c r="D283" s="4" t="s">
        <v>526</v>
      </c>
      <c r="E283" s="4" t="s">
        <v>549</v>
      </c>
      <c r="F283" s="4" t="s">
        <v>584</v>
      </c>
      <c r="G283" s="9">
        <v>877</v>
      </c>
      <c r="H283" s="4">
        <v>4</v>
      </c>
      <c r="I283" s="9">
        <v>188</v>
      </c>
      <c r="J283" s="3">
        <f t="shared" si="4"/>
        <v>3508</v>
      </c>
      <c r="K283" t="s">
        <v>597</v>
      </c>
    </row>
    <row r="284" spans="1:11" x14ac:dyDescent="0.3">
      <c r="A284" s="4" t="s">
        <v>291</v>
      </c>
      <c r="B284" s="5">
        <v>45068</v>
      </c>
      <c r="C284" s="9" t="s">
        <v>511</v>
      </c>
      <c r="D284" s="4" t="s">
        <v>531</v>
      </c>
      <c r="E284" s="4" t="s">
        <v>540</v>
      </c>
      <c r="F284" s="4" t="s">
        <v>583</v>
      </c>
      <c r="G284" s="9">
        <v>417</v>
      </c>
      <c r="H284" s="4">
        <v>1</v>
      </c>
      <c r="I284" s="9">
        <v>23</v>
      </c>
      <c r="J284" s="3">
        <f t="shared" si="4"/>
        <v>417</v>
      </c>
      <c r="K284" t="s">
        <v>593</v>
      </c>
    </row>
    <row r="285" spans="1:11" x14ac:dyDescent="0.3">
      <c r="A285" s="4" t="s">
        <v>292</v>
      </c>
      <c r="B285" s="5">
        <v>45032</v>
      </c>
      <c r="C285" s="9" t="s">
        <v>512</v>
      </c>
      <c r="D285" s="4" t="s">
        <v>530</v>
      </c>
      <c r="E285" s="4" t="s">
        <v>533</v>
      </c>
      <c r="F285" s="4" t="s">
        <v>586</v>
      </c>
      <c r="G285" s="9">
        <v>181</v>
      </c>
      <c r="H285" s="4">
        <v>5</v>
      </c>
      <c r="I285" s="9">
        <v>10</v>
      </c>
      <c r="J285" s="3">
        <f t="shared" si="4"/>
        <v>905</v>
      </c>
      <c r="K285" t="s">
        <v>588</v>
      </c>
    </row>
    <row r="286" spans="1:11" x14ac:dyDescent="0.3">
      <c r="A286" s="4" t="s">
        <v>293</v>
      </c>
      <c r="B286" s="5">
        <v>45151</v>
      </c>
      <c r="C286" s="9" t="s">
        <v>509</v>
      </c>
      <c r="D286" s="4" t="s">
        <v>518</v>
      </c>
      <c r="E286" s="4" t="s">
        <v>538</v>
      </c>
      <c r="F286" s="4" t="s">
        <v>586</v>
      </c>
      <c r="G286" s="9">
        <v>506</v>
      </c>
      <c r="H286" s="4">
        <v>2</v>
      </c>
      <c r="I286" s="9">
        <v>101</v>
      </c>
      <c r="J286" s="3">
        <f t="shared" si="4"/>
        <v>1012</v>
      </c>
      <c r="K286" t="s">
        <v>591</v>
      </c>
    </row>
    <row r="287" spans="1:11" x14ac:dyDescent="0.3">
      <c r="A287" s="4" t="s">
        <v>294</v>
      </c>
      <c r="B287" s="5">
        <v>45221</v>
      </c>
      <c r="C287" s="9" t="s">
        <v>509</v>
      </c>
      <c r="D287" s="4" t="s">
        <v>518</v>
      </c>
      <c r="E287" s="4" t="s">
        <v>546</v>
      </c>
      <c r="F287" s="4" t="s">
        <v>583</v>
      </c>
      <c r="G287" s="9">
        <v>671</v>
      </c>
      <c r="H287" s="4">
        <v>5</v>
      </c>
      <c r="I287" s="9">
        <v>137</v>
      </c>
      <c r="J287" s="3">
        <f t="shared" si="4"/>
        <v>3355</v>
      </c>
      <c r="K287" t="s">
        <v>597</v>
      </c>
    </row>
    <row r="288" spans="1:11" x14ac:dyDescent="0.3">
      <c r="A288" s="4" t="s">
        <v>295</v>
      </c>
      <c r="B288" s="5">
        <v>45265</v>
      </c>
      <c r="C288" s="9" t="s">
        <v>510</v>
      </c>
      <c r="D288" s="4" t="s">
        <v>519</v>
      </c>
      <c r="E288" s="4" t="s">
        <v>540</v>
      </c>
      <c r="F288" s="4" t="s">
        <v>583</v>
      </c>
      <c r="G288" s="9">
        <v>1066</v>
      </c>
      <c r="H288" s="4">
        <v>4</v>
      </c>
      <c r="I288" s="9">
        <v>117</v>
      </c>
      <c r="J288" s="3">
        <f t="shared" si="4"/>
        <v>4264</v>
      </c>
      <c r="K288" t="s">
        <v>594</v>
      </c>
    </row>
    <row r="289" spans="1:11" x14ac:dyDescent="0.3">
      <c r="A289" s="4" t="s">
        <v>296</v>
      </c>
      <c r="B289" s="5">
        <v>45274</v>
      </c>
      <c r="C289" s="9" t="s">
        <v>509</v>
      </c>
      <c r="D289" s="4" t="s">
        <v>514</v>
      </c>
      <c r="E289" s="4" t="s">
        <v>569</v>
      </c>
      <c r="F289" s="4" t="s">
        <v>585</v>
      </c>
      <c r="G289" s="9">
        <v>883</v>
      </c>
      <c r="H289" s="4">
        <v>4</v>
      </c>
      <c r="I289" s="9">
        <v>52</v>
      </c>
      <c r="J289" s="3">
        <f t="shared" si="4"/>
        <v>3532</v>
      </c>
      <c r="K289" t="s">
        <v>594</v>
      </c>
    </row>
    <row r="290" spans="1:11" x14ac:dyDescent="0.3">
      <c r="A290" s="4" t="s">
        <v>297</v>
      </c>
      <c r="B290" s="5">
        <v>45140</v>
      </c>
      <c r="C290" s="9" t="s">
        <v>510</v>
      </c>
      <c r="D290" s="4" t="s">
        <v>525</v>
      </c>
      <c r="E290" s="4" t="s">
        <v>536</v>
      </c>
      <c r="F290" s="4" t="s">
        <v>583</v>
      </c>
      <c r="G290" s="9">
        <v>846</v>
      </c>
      <c r="H290" s="4">
        <v>3</v>
      </c>
      <c r="I290" s="9">
        <v>106</v>
      </c>
      <c r="J290" s="3">
        <f t="shared" si="4"/>
        <v>2538</v>
      </c>
      <c r="K290" t="s">
        <v>591</v>
      </c>
    </row>
    <row r="291" spans="1:11" x14ac:dyDescent="0.3">
      <c r="A291" s="4" t="s">
        <v>298</v>
      </c>
      <c r="B291" s="5">
        <v>45289</v>
      </c>
      <c r="C291" s="9" t="s">
        <v>512</v>
      </c>
      <c r="D291" s="4" t="s">
        <v>523</v>
      </c>
      <c r="E291" s="4" t="s">
        <v>579</v>
      </c>
      <c r="F291" s="4" t="s">
        <v>585</v>
      </c>
      <c r="G291" s="9">
        <v>331</v>
      </c>
      <c r="H291" s="4">
        <v>4</v>
      </c>
      <c r="I291" s="9">
        <v>77</v>
      </c>
      <c r="J291" s="3">
        <f t="shared" si="4"/>
        <v>1324</v>
      </c>
      <c r="K291" t="s">
        <v>594</v>
      </c>
    </row>
    <row r="292" spans="1:11" x14ac:dyDescent="0.3">
      <c r="A292" s="4" t="s">
        <v>299</v>
      </c>
      <c r="B292" s="5">
        <v>45051</v>
      </c>
      <c r="C292" s="9" t="s">
        <v>512</v>
      </c>
      <c r="D292" s="4" t="s">
        <v>521</v>
      </c>
      <c r="E292" s="4" t="s">
        <v>537</v>
      </c>
      <c r="F292" s="4" t="s">
        <v>585</v>
      </c>
      <c r="G292" s="9">
        <v>547</v>
      </c>
      <c r="H292" s="4">
        <v>3</v>
      </c>
      <c r="I292" s="9">
        <v>98</v>
      </c>
      <c r="J292" s="3">
        <f t="shared" si="4"/>
        <v>1641</v>
      </c>
      <c r="K292" t="s">
        <v>593</v>
      </c>
    </row>
    <row r="293" spans="1:11" x14ac:dyDescent="0.3">
      <c r="A293" s="4" t="s">
        <v>300</v>
      </c>
      <c r="B293" s="5">
        <v>45024</v>
      </c>
      <c r="C293" s="9" t="s">
        <v>512</v>
      </c>
      <c r="D293" s="4" t="s">
        <v>532</v>
      </c>
      <c r="E293" s="4" t="s">
        <v>581</v>
      </c>
      <c r="F293" s="4" t="s">
        <v>586</v>
      </c>
      <c r="G293" s="9">
        <v>150</v>
      </c>
      <c r="H293" s="4">
        <v>4</v>
      </c>
      <c r="I293" s="9">
        <v>27</v>
      </c>
      <c r="J293" s="3">
        <f t="shared" si="4"/>
        <v>600</v>
      </c>
      <c r="K293" t="s">
        <v>588</v>
      </c>
    </row>
    <row r="294" spans="1:11" x14ac:dyDescent="0.3">
      <c r="A294" s="4" t="s">
        <v>301</v>
      </c>
      <c r="B294" s="5">
        <v>45227</v>
      </c>
      <c r="C294" s="9" t="s">
        <v>509</v>
      </c>
      <c r="D294" s="4" t="s">
        <v>513</v>
      </c>
      <c r="E294" s="4" t="s">
        <v>559</v>
      </c>
      <c r="F294" s="4" t="s">
        <v>585</v>
      </c>
      <c r="G294" s="9">
        <v>1462</v>
      </c>
      <c r="H294" s="4">
        <v>5</v>
      </c>
      <c r="I294" s="9">
        <v>136</v>
      </c>
      <c r="J294" s="3">
        <f t="shared" si="4"/>
        <v>7310</v>
      </c>
      <c r="K294" t="s">
        <v>597</v>
      </c>
    </row>
    <row r="295" spans="1:11" x14ac:dyDescent="0.3">
      <c r="A295" s="4" t="s">
        <v>302</v>
      </c>
      <c r="B295" s="5">
        <v>45035</v>
      </c>
      <c r="C295" s="9" t="s">
        <v>511</v>
      </c>
      <c r="D295" s="4" t="s">
        <v>529</v>
      </c>
      <c r="E295" s="4" t="s">
        <v>553</v>
      </c>
      <c r="F295" s="4" t="s">
        <v>583</v>
      </c>
      <c r="G295" s="9">
        <v>1877</v>
      </c>
      <c r="H295" s="4">
        <v>1</v>
      </c>
      <c r="I295" s="9">
        <v>374</v>
      </c>
      <c r="J295" s="3">
        <f t="shared" si="4"/>
        <v>1877</v>
      </c>
      <c r="K295" t="s">
        <v>588</v>
      </c>
    </row>
    <row r="296" spans="1:11" x14ac:dyDescent="0.3">
      <c r="A296" s="4" t="s">
        <v>303</v>
      </c>
      <c r="B296" s="5">
        <v>45049</v>
      </c>
      <c r="C296" s="9" t="s">
        <v>512</v>
      </c>
      <c r="D296" s="4" t="s">
        <v>523</v>
      </c>
      <c r="E296" s="4" t="s">
        <v>538</v>
      </c>
      <c r="F296" s="4" t="s">
        <v>585</v>
      </c>
      <c r="G296" s="9">
        <v>1126</v>
      </c>
      <c r="H296" s="4">
        <v>3</v>
      </c>
      <c r="I296" s="9">
        <v>142</v>
      </c>
      <c r="J296" s="3">
        <f t="shared" si="4"/>
        <v>3378</v>
      </c>
      <c r="K296" t="s">
        <v>593</v>
      </c>
    </row>
    <row r="297" spans="1:11" x14ac:dyDescent="0.3">
      <c r="A297" s="4" t="s">
        <v>304</v>
      </c>
      <c r="B297" s="5">
        <v>45189</v>
      </c>
      <c r="C297" s="9" t="s">
        <v>510</v>
      </c>
      <c r="D297" s="4" t="s">
        <v>528</v>
      </c>
      <c r="E297" s="4" t="s">
        <v>564</v>
      </c>
      <c r="F297" s="4" t="s">
        <v>583</v>
      </c>
      <c r="G297" s="9">
        <v>1771</v>
      </c>
      <c r="H297" s="4">
        <v>4</v>
      </c>
      <c r="I297" s="9">
        <v>123</v>
      </c>
      <c r="J297" s="3">
        <f t="shared" si="4"/>
        <v>7084</v>
      </c>
      <c r="K297" t="s">
        <v>599</v>
      </c>
    </row>
    <row r="298" spans="1:11" x14ac:dyDescent="0.3">
      <c r="A298" s="4" t="s">
        <v>305</v>
      </c>
      <c r="B298" s="5">
        <v>45087</v>
      </c>
      <c r="C298" s="9" t="s">
        <v>512</v>
      </c>
      <c r="D298" s="4" t="s">
        <v>532</v>
      </c>
      <c r="E298" s="4" t="s">
        <v>564</v>
      </c>
      <c r="F298" s="4" t="s">
        <v>585</v>
      </c>
      <c r="G298" s="9">
        <v>857</v>
      </c>
      <c r="H298" s="4">
        <v>5</v>
      </c>
      <c r="I298" s="9">
        <v>190</v>
      </c>
      <c r="J298" s="3">
        <f t="shared" si="4"/>
        <v>4285</v>
      </c>
      <c r="K298" t="s">
        <v>595</v>
      </c>
    </row>
    <row r="299" spans="1:11" x14ac:dyDescent="0.3">
      <c r="A299" s="4" t="s">
        <v>306</v>
      </c>
      <c r="B299" s="5">
        <v>45226</v>
      </c>
      <c r="C299" s="9" t="s">
        <v>511</v>
      </c>
      <c r="D299" s="4" t="s">
        <v>524</v>
      </c>
      <c r="E299" s="4" t="s">
        <v>561</v>
      </c>
      <c r="F299" s="4" t="s">
        <v>583</v>
      </c>
      <c r="G299" s="9">
        <v>1179</v>
      </c>
      <c r="H299" s="4">
        <v>4</v>
      </c>
      <c r="I299" s="9">
        <v>128</v>
      </c>
      <c r="J299" s="3">
        <f t="shared" si="4"/>
        <v>4716</v>
      </c>
      <c r="K299" t="s">
        <v>597</v>
      </c>
    </row>
    <row r="300" spans="1:11" x14ac:dyDescent="0.3">
      <c r="A300" s="4" t="s">
        <v>307</v>
      </c>
      <c r="B300" s="5">
        <v>45218</v>
      </c>
      <c r="C300" s="9" t="s">
        <v>511</v>
      </c>
      <c r="D300" s="4" t="s">
        <v>529</v>
      </c>
      <c r="E300" s="4" t="s">
        <v>537</v>
      </c>
      <c r="F300" s="4" t="s">
        <v>585</v>
      </c>
      <c r="G300" s="9">
        <v>1675</v>
      </c>
      <c r="H300" s="4">
        <v>4</v>
      </c>
      <c r="I300" s="9">
        <v>268</v>
      </c>
      <c r="J300" s="3">
        <f t="shared" si="4"/>
        <v>6700</v>
      </c>
      <c r="K300" t="s">
        <v>597</v>
      </c>
    </row>
    <row r="301" spans="1:11" x14ac:dyDescent="0.3">
      <c r="A301" s="4" t="s">
        <v>308</v>
      </c>
      <c r="B301" s="5">
        <v>45255</v>
      </c>
      <c r="C301" s="9" t="s">
        <v>510</v>
      </c>
      <c r="D301" s="4" t="s">
        <v>528</v>
      </c>
      <c r="E301" s="4" t="s">
        <v>575</v>
      </c>
      <c r="F301" s="4" t="s">
        <v>584</v>
      </c>
      <c r="G301" s="9">
        <v>1492</v>
      </c>
      <c r="H301" s="4">
        <v>4</v>
      </c>
      <c r="I301" s="9">
        <v>124</v>
      </c>
      <c r="J301" s="3">
        <f t="shared" si="4"/>
        <v>5968</v>
      </c>
      <c r="K301" t="s">
        <v>590</v>
      </c>
    </row>
    <row r="302" spans="1:11" x14ac:dyDescent="0.3">
      <c r="A302" s="4" t="s">
        <v>309</v>
      </c>
      <c r="B302" s="5">
        <v>45206</v>
      </c>
      <c r="C302" s="9" t="s">
        <v>510</v>
      </c>
      <c r="D302" s="4" t="s">
        <v>519</v>
      </c>
      <c r="E302" s="4" t="s">
        <v>575</v>
      </c>
      <c r="F302" s="4" t="s">
        <v>585</v>
      </c>
      <c r="G302" s="9">
        <v>1002</v>
      </c>
      <c r="H302" s="4">
        <v>5</v>
      </c>
      <c r="I302" s="9">
        <v>248</v>
      </c>
      <c r="J302" s="3">
        <f t="shared" si="4"/>
        <v>5010</v>
      </c>
      <c r="K302" t="s">
        <v>597</v>
      </c>
    </row>
    <row r="303" spans="1:11" x14ac:dyDescent="0.3">
      <c r="A303" s="4" t="s">
        <v>310</v>
      </c>
      <c r="B303" s="5">
        <v>45269</v>
      </c>
      <c r="C303" s="9" t="s">
        <v>509</v>
      </c>
      <c r="D303" s="4" t="s">
        <v>514</v>
      </c>
      <c r="E303" s="4" t="s">
        <v>551</v>
      </c>
      <c r="F303" s="4" t="s">
        <v>586</v>
      </c>
      <c r="G303" s="9">
        <v>144</v>
      </c>
      <c r="H303" s="4">
        <v>1</v>
      </c>
      <c r="I303" s="9">
        <v>19</v>
      </c>
      <c r="J303" s="3">
        <f t="shared" si="4"/>
        <v>144</v>
      </c>
      <c r="K303" t="s">
        <v>594</v>
      </c>
    </row>
    <row r="304" spans="1:11" x14ac:dyDescent="0.3">
      <c r="A304" s="4" t="s">
        <v>311</v>
      </c>
      <c r="B304" s="5">
        <v>45038</v>
      </c>
      <c r="C304" s="9" t="s">
        <v>511</v>
      </c>
      <c r="D304" s="4" t="s">
        <v>524</v>
      </c>
      <c r="E304" s="4" t="s">
        <v>553</v>
      </c>
      <c r="F304" s="4" t="s">
        <v>585</v>
      </c>
      <c r="G304" s="9">
        <v>1036</v>
      </c>
      <c r="H304" s="4">
        <v>3</v>
      </c>
      <c r="I304" s="9">
        <v>64</v>
      </c>
      <c r="J304" s="3">
        <f t="shared" si="4"/>
        <v>3108</v>
      </c>
      <c r="K304" t="s">
        <v>588</v>
      </c>
    </row>
    <row r="305" spans="1:11" x14ac:dyDescent="0.3">
      <c r="A305" s="4" t="s">
        <v>312</v>
      </c>
      <c r="B305" s="5">
        <v>45199</v>
      </c>
      <c r="C305" s="9" t="s">
        <v>512</v>
      </c>
      <c r="D305" s="4" t="s">
        <v>521</v>
      </c>
      <c r="E305" s="4" t="s">
        <v>553</v>
      </c>
      <c r="F305" s="4" t="s">
        <v>586</v>
      </c>
      <c r="G305" s="9">
        <v>1125</v>
      </c>
      <c r="H305" s="4">
        <v>1</v>
      </c>
      <c r="I305" s="9">
        <v>60</v>
      </c>
      <c r="J305" s="3">
        <f t="shared" si="4"/>
        <v>1125</v>
      </c>
      <c r="K305" t="s">
        <v>599</v>
      </c>
    </row>
    <row r="306" spans="1:11" x14ac:dyDescent="0.3">
      <c r="A306" s="4" t="s">
        <v>313</v>
      </c>
      <c r="B306" s="5">
        <v>45184</v>
      </c>
      <c r="C306" s="9" t="s">
        <v>510</v>
      </c>
      <c r="D306" s="4" t="s">
        <v>517</v>
      </c>
      <c r="E306" s="4" t="s">
        <v>582</v>
      </c>
      <c r="F306" s="4" t="s">
        <v>583</v>
      </c>
      <c r="G306" s="9">
        <v>1635</v>
      </c>
      <c r="H306" s="4">
        <v>4</v>
      </c>
      <c r="I306" s="9">
        <v>345</v>
      </c>
      <c r="J306" s="3">
        <f t="shared" si="4"/>
        <v>6540</v>
      </c>
      <c r="K306" t="s">
        <v>599</v>
      </c>
    </row>
    <row r="307" spans="1:11" x14ac:dyDescent="0.3">
      <c r="A307" s="4" t="s">
        <v>314</v>
      </c>
      <c r="B307" s="5">
        <v>45003</v>
      </c>
      <c r="C307" s="9" t="s">
        <v>511</v>
      </c>
      <c r="D307" s="4" t="s">
        <v>524</v>
      </c>
      <c r="E307" s="4" t="s">
        <v>541</v>
      </c>
      <c r="F307" s="4" t="s">
        <v>586</v>
      </c>
      <c r="G307" s="9">
        <v>519</v>
      </c>
      <c r="H307" s="4">
        <v>5</v>
      </c>
      <c r="I307" s="9">
        <v>80</v>
      </c>
      <c r="J307" s="3">
        <f t="shared" si="4"/>
        <v>2595</v>
      </c>
      <c r="K307" t="s">
        <v>598</v>
      </c>
    </row>
    <row r="308" spans="1:11" x14ac:dyDescent="0.3">
      <c r="A308" s="4" t="s">
        <v>315</v>
      </c>
      <c r="B308" s="5">
        <v>45118</v>
      </c>
      <c r="C308" s="9" t="s">
        <v>510</v>
      </c>
      <c r="D308" s="4" t="s">
        <v>528</v>
      </c>
      <c r="E308" s="4" t="s">
        <v>566</v>
      </c>
      <c r="F308" s="4" t="s">
        <v>584</v>
      </c>
      <c r="G308" s="9">
        <v>1920</v>
      </c>
      <c r="H308" s="4">
        <v>4</v>
      </c>
      <c r="I308" s="9">
        <v>313</v>
      </c>
      <c r="J308" s="3">
        <f t="shared" si="4"/>
        <v>7680</v>
      </c>
      <c r="K308" t="s">
        <v>596</v>
      </c>
    </row>
    <row r="309" spans="1:11" x14ac:dyDescent="0.3">
      <c r="A309" s="4" t="s">
        <v>316</v>
      </c>
      <c r="B309" s="5">
        <v>45259</v>
      </c>
      <c r="C309" s="9" t="s">
        <v>511</v>
      </c>
      <c r="D309" s="4" t="s">
        <v>529</v>
      </c>
      <c r="E309" s="4" t="s">
        <v>580</v>
      </c>
      <c r="F309" s="4" t="s">
        <v>586</v>
      </c>
      <c r="G309" s="9">
        <v>1531</v>
      </c>
      <c r="H309" s="4">
        <v>1</v>
      </c>
      <c r="I309" s="9">
        <v>200</v>
      </c>
      <c r="J309" s="3">
        <f t="shared" si="4"/>
        <v>1531</v>
      </c>
      <c r="K309" t="s">
        <v>590</v>
      </c>
    </row>
    <row r="310" spans="1:11" x14ac:dyDescent="0.3">
      <c r="A310" s="4" t="s">
        <v>317</v>
      </c>
      <c r="B310" s="5">
        <v>45253</v>
      </c>
      <c r="C310" s="9" t="s">
        <v>512</v>
      </c>
      <c r="D310" s="4" t="s">
        <v>530</v>
      </c>
      <c r="E310" s="4" t="s">
        <v>555</v>
      </c>
      <c r="F310" s="4" t="s">
        <v>584</v>
      </c>
      <c r="G310" s="9">
        <v>68</v>
      </c>
      <c r="H310" s="4">
        <v>2</v>
      </c>
      <c r="I310" s="9">
        <v>4</v>
      </c>
      <c r="J310" s="3">
        <f t="shared" si="4"/>
        <v>136</v>
      </c>
      <c r="K310" t="s">
        <v>590</v>
      </c>
    </row>
    <row r="311" spans="1:11" x14ac:dyDescent="0.3">
      <c r="A311" s="4" t="s">
        <v>318</v>
      </c>
      <c r="B311" s="5">
        <v>44948</v>
      </c>
      <c r="C311" s="9" t="s">
        <v>512</v>
      </c>
      <c r="D311" s="4" t="s">
        <v>532</v>
      </c>
      <c r="E311" s="4" t="s">
        <v>541</v>
      </c>
      <c r="F311" s="4" t="s">
        <v>586</v>
      </c>
      <c r="G311" s="9">
        <v>498</v>
      </c>
      <c r="H311" s="4">
        <v>5</v>
      </c>
      <c r="I311" s="9">
        <v>72</v>
      </c>
      <c r="J311" s="3">
        <f t="shared" si="4"/>
        <v>2490</v>
      </c>
      <c r="K311" t="s">
        <v>589</v>
      </c>
    </row>
    <row r="312" spans="1:11" x14ac:dyDescent="0.3">
      <c r="A312" s="4" t="s">
        <v>319</v>
      </c>
      <c r="B312" s="5">
        <v>45215</v>
      </c>
      <c r="C312" s="9" t="s">
        <v>509</v>
      </c>
      <c r="D312" s="4" t="s">
        <v>513</v>
      </c>
      <c r="E312" s="4" t="s">
        <v>581</v>
      </c>
      <c r="F312" s="4" t="s">
        <v>583</v>
      </c>
      <c r="G312" s="9">
        <v>1333</v>
      </c>
      <c r="H312" s="4">
        <v>2</v>
      </c>
      <c r="I312" s="9">
        <v>314</v>
      </c>
      <c r="J312" s="3">
        <f t="shared" si="4"/>
        <v>2666</v>
      </c>
      <c r="K312" t="s">
        <v>597</v>
      </c>
    </row>
    <row r="313" spans="1:11" x14ac:dyDescent="0.3">
      <c r="A313" s="4" t="s">
        <v>320</v>
      </c>
      <c r="B313" s="5">
        <v>45000</v>
      </c>
      <c r="C313" s="9" t="s">
        <v>510</v>
      </c>
      <c r="D313" s="4" t="s">
        <v>515</v>
      </c>
      <c r="E313" s="4" t="s">
        <v>539</v>
      </c>
      <c r="F313" s="4" t="s">
        <v>585</v>
      </c>
      <c r="G313" s="9">
        <v>1516</v>
      </c>
      <c r="H313" s="4">
        <v>4</v>
      </c>
      <c r="I313" s="9">
        <v>357</v>
      </c>
      <c r="J313" s="3">
        <f t="shared" si="4"/>
        <v>6064</v>
      </c>
      <c r="K313" t="s">
        <v>598</v>
      </c>
    </row>
    <row r="314" spans="1:11" x14ac:dyDescent="0.3">
      <c r="A314" s="4" t="s">
        <v>321</v>
      </c>
      <c r="B314" s="5">
        <v>45126</v>
      </c>
      <c r="C314" s="9" t="s">
        <v>510</v>
      </c>
      <c r="D314" s="4" t="s">
        <v>519</v>
      </c>
      <c r="E314" s="4" t="s">
        <v>574</v>
      </c>
      <c r="F314" s="4" t="s">
        <v>585</v>
      </c>
      <c r="G314" s="9">
        <v>1370</v>
      </c>
      <c r="H314" s="4">
        <v>5</v>
      </c>
      <c r="I314" s="9">
        <v>159</v>
      </c>
      <c r="J314" s="3">
        <f t="shared" si="4"/>
        <v>6850</v>
      </c>
      <c r="K314" t="s">
        <v>596</v>
      </c>
    </row>
    <row r="315" spans="1:11" x14ac:dyDescent="0.3">
      <c r="A315" s="4" t="s">
        <v>322</v>
      </c>
      <c r="B315" s="5">
        <v>44977</v>
      </c>
      <c r="C315" s="9" t="s">
        <v>511</v>
      </c>
      <c r="D315" s="4" t="s">
        <v>524</v>
      </c>
      <c r="E315" s="4" t="s">
        <v>555</v>
      </c>
      <c r="F315" s="4" t="s">
        <v>583</v>
      </c>
      <c r="G315" s="9">
        <v>902</v>
      </c>
      <c r="H315" s="4">
        <v>1</v>
      </c>
      <c r="I315" s="9">
        <v>106</v>
      </c>
      <c r="J315" s="3">
        <f t="shared" si="4"/>
        <v>902</v>
      </c>
      <c r="K315" t="s">
        <v>592</v>
      </c>
    </row>
    <row r="316" spans="1:11" x14ac:dyDescent="0.3">
      <c r="A316" s="4" t="s">
        <v>323</v>
      </c>
      <c r="B316" s="5">
        <v>45066</v>
      </c>
      <c r="C316" s="9" t="s">
        <v>512</v>
      </c>
      <c r="D316" s="4" t="s">
        <v>532</v>
      </c>
      <c r="E316" s="4" t="s">
        <v>569</v>
      </c>
      <c r="F316" s="4" t="s">
        <v>586</v>
      </c>
      <c r="G316" s="9">
        <v>1577</v>
      </c>
      <c r="H316" s="4">
        <v>4</v>
      </c>
      <c r="I316" s="9">
        <v>233</v>
      </c>
      <c r="J316" s="3">
        <f t="shared" si="4"/>
        <v>6308</v>
      </c>
      <c r="K316" t="s">
        <v>593</v>
      </c>
    </row>
    <row r="317" spans="1:11" x14ac:dyDescent="0.3">
      <c r="A317" s="4" t="s">
        <v>324</v>
      </c>
      <c r="B317" s="5">
        <v>45022</v>
      </c>
      <c r="C317" s="9" t="s">
        <v>510</v>
      </c>
      <c r="D317" s="4" t="s">
        <v>517</v>
      </c>
      <c r="E317" s="4" t="s">
        <v>562</v>
      </c>
      <c r="F317" s="4" t="s">
        <v>584</v>
      </c>
      <c r="G317" s="9">
        <v>1375</v>
      </c>
      <c r="H317" s="4">
        <v>4</v>
      </c>
      <c r="I317" s="9">
        <v>92</v>
      </c>
      <c r="J317" s="3">
        <f t="shared" si="4"/>
        <v>5500</v>
      </c>
      <c r="K317" t="s">
        <v>588</v>
      </c>
    </row>
    <row r="318" spans="1:11" x14ac:dyDescent="0.3">
      <c r="A318" s="4" t="s">
        <v>325</v>
      </c>
      <c r="B318" s="5">
        <v>45064</v>
      </c>
      <c r="C318" s="9" t="s">
        <v>510</v>
      </c>
      <c r="D318" s="4" t="s">
        <v>519</v>
      </c>
      <c r="E318" s="4" t="s">
        <v>566</v>
      </c>
      <c r="F318" s="4" t="s">
        <v>586</v>
      </c>
      <c r="G318" s="9">
        <v>350</v>
      </c>
      <c r="H318" s="4">
        <v>2</v>
      </c>
      <c r="I318" s="9">
        <v>69</v>
      </c>
      <c r="J318" s="3">
        <f t="shared" si="4"/>
        <v>700</v>
      </c>
      <c r="K318" t="s">
        <v>593</v>
      </c>
    </row>
    <row r="319" spans="1:11" x14ac:dyDescent="0.3">
      <c r="A319" s="4" t="s">
        <v>326</v>
      </c>
      <c r="B319" s="5">
        <v>44929</v>
      </c>
      <c r="C319" s="9" t="s">
        <v>510</v>
      </c>
      <c r="D319" s="4" t="s">
        <v>528</v>
      </c>
      <c r="E319" s="4" t="s">
        <v>566</v>
      </c>
      <c r="F319" s="4" t="s">
        <v>586</v>
      </c>
      <c r="G319" s="9">
        <v>1888</v>
      </c>
      <c r="H319" s="4">
        <v>4</v>
      </c>
      <c r="I319" s="9">
        <v>230</v>
      </c>
      <c r="J319" s="3">
        <f t="shared" si="4"/>
        <v>7552</v>
      </c>
      <c r="K319" t="s">
        <v>589</v>
      </c>
    </row>
    <row r="320" spans="1:11" x14ac:dyDescent="0.3">
      <c r="A320" s="4" t="s">
        <v>327</v>
      </c>
      <c r="B320" s="5">
        <v>45022</v>
      </c>
      <c r="C320" s="9" t="s">
        <v>510</v>
      </c>
      <c r="D320" s="4" t="s">
        <v>515</v>
      </c>
      <c r="E320" s="4" t="s">
        <v>566</v>
      </c>
      <c r="F320" s="4" t="s">
        <v>585</v>
      </c>
      <c r="G320" s="9">
        <v>890</v>
      </c>
      <c r="H320" s="4">
        <v>5</v>
      </c>
      <c r="I320" s="9">
        <v>143</v>
      </c>
      <c r="J320" s="3">
        <f t="shared" si="4"/>
        <v>4450</v>
      </c>
      <c r="K320" t="s">
        <v>588</v>
      </c>
    </row>
    <row r="321" spans="1:11" x14ac:dyDescent="0.3">
      <c r="A321" s="4" t="s">
        <v>328</v>
      </c>
      <c r="B321" s="5">
        <v>45108</v>
      </c>
      <c r="C321" s="9" t="s">
        <v>512</v>
      </c>
      <c r="D321" s="4" t="s">
        <v>522</v>
      </c>
      <c r="E321" s="4" t="s">
        <v>566</v>
      </c>
      <c r="F321" s="4" t="s">
        <v>586</v>
      </c>
      <c r="G321" s="9">
        <v>1130</v>
      </c>
      <c r="H321" s="4">
        <v>5</v>
      </c>
      <c r="I321" s="9">
        <v>191</v>
      </c>
      <c r="J321" s="3">
        <f t="shared" si="4"/>
        <v>5650</v>
      </c>
      <c r="K321" t="s">
        <v>596</v>
      </c>
    </row>
    <row r="322" spans="1:11" x14ac:dyDescent="0.3">
      <c r="A322" s="4" t="s">
        <v>329</v>
      </c>
      <c r="B322" s="5">
        <v>45138</v>
      </c>
      <c r="C322" s="9" t="s">
        <v>510</v>
      </c>
      <c r="D322" s="4" t="s">
        <v>525</v>
      </c>
      <c r="E322" s="4" t="s">
        <v>554</v>
      </c>
      <c r="F322" s="4" t="s">
        <v>586</v>
      </c>
      <c r="G322" s="9">
        <v>806</v>
      </c>
      <c r="H322" s="4">
        <v>1</v>
      </c>
      <c r="I322" s="9">
        <v>157</v>
      </c>
      <c r="J322" s="3">
        <f t="shared" si="4"/>
        <v>806</v>
      </c>
      <c r="K322" t="s">
        <v>596</v>
      </c>
    </row>
    <row r="323" spans="1:11" x14ac:dyDescent="0.3">
      <c r="A323" s="4" t="s">
        <v>330</v>
      </c>
      <c r="B323" s="5">
        <v>45121</v>
      </c>
      <c r="C323" s="9" t="s">
        <v>511</v>
      </c>
      <c r="D323" s="4" t="s">
        <v>527</v>
      </c>
      <c r="E323" s="4" t="s">
        <v>549</v>
      </c>
      <c r="F323" s="4" t="s">
        <v>585</v>
      </c>
      <c r="G323" s="9">
        <v>380</v>
      </c>
      <c r="H323" s="4">
        <v>3</v>
      </c>
      <c r="I323" s="9">
        <v>41</v>
      </c>
      <c r="J323" s="3">
        <f t="shared" ref="J323:J386" si="5">H323*G323</f>
        <v>1140</v>
      </c>
      <c r="K323" t="s">
        <v>596</v>
      </c>
    </row>
    <row r="324" spans="1:11" x14ac:dyDescent="0.3">
      <c r="A324" s="4" t="s">
        <v>331</v>
      </c>
      <c r="B324" s="5">
        <v>45149</v>
      </c>
      <c r="C324" s="9" t="s">
        <v>512</v>
      </c>
      <c r="D324" s="4" t="s">
        <v>523</v>
      </c>
      <c r="E324" s="4" t="s">
        <v>552</v>
      </c>
      <c r="F324" s="4" t="s">
        <v>586</v>
      </c>
      <c r="G324" s="9">
        <v>588</v>
      </c>
      <c r="H324" s="4">
        <v>3</v>
      </c>
      <c r="I324" s="9">
        <v>86</v>
      </c>
      <c r="J324" s="3">
        <f t="shared" si="5"/>
        <v>1764</v>
      </c>
      <c r="K324" t="s">
        <v>591</v>
      </c>
    </row>
    <row r="325" spans="1:11" x14ac:dyDescent="0.3">
      <c r="A325" s="4" t="s">
        <v>332</v>
      </c>
      <c r="B325" s="5">
        <v>45247</v>
      </c>
      <c r="C325" s="9" t="s">
        <v>509</v>
      </c>
      <c r="D325" s="4" t="s">
        <v>526</v>
      </c>
      <c r="E325" s="4" t="s">
        <v>533</v>
      </c>
      <c r="F325" s="4" t="s">
        <v>583</v>
      </c>
      <c r="G325" s="9">
        <v>1016</v>
      </c>
      <c r="H325" s="4">
        <v>5</v>
      </c>
      <c r="I325" s="9">
        <v>90</v>
      </c>
      <c r="J325" s="3">
        <f t="shared" si="5"/>
        <v>5080</v>
      </c>
      <c r="K325" t="s">
        <v>590</v>
      </c>
    </row>
    <row r="326" spans="1:11" x14ac:dyDescent="0.3">
      <c r="A326" s="4" t="s">
        <v>333</v>
      </c>
      <c r="B326" s="5">
        <v>45129</v>
      </c>
      <c r="C326" s="9" t="s">
        <v>509</v>
      </c>
      <c r="D326" s="4" t="s">
        <v>518</v>
      </c>
      <c r="E326" s="4" t="s">
        <v>553</v>
      </c>
      <c r="F326" s="4" t="s">
        <v>583</v>
      </c>
      <c r="G326" s="9">
        <v>697</v>
      </c>
      <c r="H326" s="4">
        <v>5</v>
      </c>
      <c r="I326" s="9">
        <v>87</v>
      </c>
      <c r="J326" s="3">
        <f t="shared" si="5"/>
        <v>3485</v>
      </c>
      <c r="K326" t="s">
        <v>596</v>
      </c>
    </row>
    <row r="327" spans="1:11" x14ac:dyDescent="0.3">
      <c r="A327" s="4" t="s">
        <v>334</v>
      </c>
      <c r="B327" s="5">
        <v>45260</v>
      </c>
      <c r="C327" s="9" t="s">
        <v>510</v>
      </c>
      <c r="D327" s="4" t="s">
        <v>525</v>
      </c>
      <c r="E327" s="4" t="s">
        <v>562</v>
      </c>
      <c r="F327" s="4" t="s">
        <v>583</v>
      </c>
      <c r="G327" s="9">
        <v>1949</v>
      </c>
      <c r="H327" s="4">
        <v>2</v>
      </c>
      <c r="I327" s="9">
        <v>214</v>
      </c>
      <c r="J327" s="3">
        <f t="shared" si="5"/>
        <v>3898</v>
      </c>
      <c r="K327" t="s">
        <v>590</v>
      </c>
    </row>
    <row r="328" spans="1:11" x14ac:dyDescent="0.3">
      <c r="A328" s="4" t="s">
        <v>335</v>
      </c>
      <c r="B328" s="5">
        <v>45130</v>
      </c>
      <c r="C328" s="9" t="s">
        <v>511</v>
      </c>
      <c r="D328" s="4" t="s">
        <v>531</v>
      </c>
      <c r="E328" s="4" t="s">
        <v>567</v>
      </c>
      <c r="F328" s="4" t="s">
        <v>583</v>
      </c>
      <c r="G328" s="9">
        <v>1939</v>
      </c>
      <c r="H328" s="4">
        <v>3</v>
      </c>
      <c r="I328" s="9">
        <v>381</v>
      </c>
      <c r="J328" s="3">
        <f t="shared" si="5"/>
        <v>5817</v>
      </c>
      <c r="K328" t="s">
        <v>596</v>
      </c>
    </row>
    <row r="329" spans="1:11" x14ac:dyDescent="0.3">
      <c r="A329" s="4" t="s">
        <v>336</v>
      </c>
      <c r="B329" s="5">
        <v>45119</v>
      </c>
      <c r="C329" s="9" t="s">
        <v>512</v>
      </c>
      <c r="D329" s="4" t="s">
        <v>530</v>
      </c>
      <c r="E329" s="4" t="s">
        <v>570</v>
      </c>
      <c r="F329" s="4" t="s">
        <v>585</v>
      </c>
      <c r="G329" s="9">
        <v>596</v>
      </c>
      <c r="H329" s="4">
        <v>4</v>
      </c>
      <c r="I329" s="9">
        <v>73</v>
      </c>
      <c r="J329" s="3">
        <f t="shared" si="5"/>
        <v>2384</v>
      </c>
      <c r="K329" t="s">
        <v>596</v>
      </c>
    </row>
    <row r="330" spans="1:11" x14ac:dyDescent="0.3">
      <c r="A330" s="4" t="s">
        <v>337</v>
      </c>
      <c r="B330" s="5">
        <v>45208</v>
      </c>
      <c r="C330" s="9" t="s">
        <v>511</v>
      </c>
      <c r="D330" s="4" t="s">
        <v>527</v>
      </c>
      <c r="E330" s="4" t="s">
        <v>549</v>
      </c>
      <c r="F330" s="4" t="s">
        <v>585</v>
      </c>
      <c r="G330" s="9">
        <v>102</v>
      </c>
      <c r="H330" s="4">
        <v>4</v>
      </c>
      <c r="I330" s="9">
        <v>24</v>
      </c>
      <c r="J330" s="3">
        <f t="shared" si="5"/>
        <v>408</v>
      </c>
      <c r="K330" t="s">
        <v>597</v>
      </c>
    </row>
    <row r="331" spans="1:11" x14ac:dyDescent="0.3">
      <c r="A331" s="4" t="s">
        <v>338</v>
      </c>
      <c r="B331" s="5">
        <v>44962</v>
      </c>
      <c r="C331" s="9" t="s">
        <v>511</v>
      </c>
      <c r="D331" s="4" t="s">
        <v>531</v>
      </c>
      <c r="E331" s="4" t="s">
        <v>536</v>
      </c>
      <c r="F331" s="4" t="s">
        <v>583</v>
      </c>
      <c r="G331" s="9">
        <v>1646</v>
      </c>
      <c r="H331" s="4">
        <v>4</v>
      </c>
      <c r="I331" s="9">
        <v>304</v>
      </c>
      <c r="J331" s="3">
        <f t="shared" si="5"/>
        <v>6584</v>
      </c>
      <c r="K331" t="s">
        <v>592</v>
      </c>
    </row>
    <row r="332" spans="1:11" x14ac:dyDescent="0.3">
      <c r="A332" s="4" t="s">
        <v>339</v>
      </c>
      <c r="B332" s="5">
        <v>45264</v>
      </c>
      <c r="C332" s="9" t="s">
        <v>511</v>
      </c>
      <c r="D332" s="4" t="s">
        <v>529</v>
      </c>
      <c r="E332" s="4" t="s">
        <v>560</v>
      </c>
      <c r="F332" s="4" t="s">
        <v>585</v>
      </c>
      <c r="G332" s="9">
        <v>350</v>
      </c>
      <c r="H332" s="4">
        <v>4</v>
      </c>
      <c r="I332" s="9">
        <v>72</v>
      </c>
      <c r="J332" s="3">
        <f t="shared" si="5"/>
        <v>1400</v>
      </c>
      <c r="K332" t="s">
        <v>594</v>
      </c>
    </row>
    <row r="333" spans="1:11" x14ac:dyDescent="0.3">
      <c r="A333" s="4" t="s">
        <v>340</v>
      </c>
      <c r="B333" s="5">
        <v>45132</v>
      </c>
      <c r="C333" s="9" t="s">
        <v>509</v>
      </c>
      <c r="D333" s="4" t="s">
        <v>516</v>
      </c>
      <c r="E333" s="4" t="s">
        <v>539</v>
      </c>
      <c r="F333" s="4" t="s">
        <v>584</v>
      </c>
      <c r="G333" s="9">
        <v>1092</v>
      </c>
      <c r="H333" s="4">
        <v>4</v>
      </c>
      <c r="I333" s="9">
        <v>173</v>
      </c>
      <c r="J333" s="3">
        <f t="shared" si="5"/>
        <v>4368</v>
      </c>
      <c r="K333" t="s">
        <v>596</v>
      </c>
    </row>
    <row r="334" spans="1:11" x14ac:dyDescent="0.3">
      <c r="A334" s="4" t="s">
        <v>341</v>
      </c>
      <c r="B334" s="5">
        <v>45054</v>
      </c>
      <c r="C334" s="9" t="s">
        <v>510</v>
      </c>
      <c r="D334" s="4" t="s">
        <v>517</v>
      </c>
      <c r="E334" s="4" t="s">
        <v>578</v>
      </c>
      <c r="F334" s="4" t="s">
        <v>586</v>
      </c>
      <c r="G334" s="9">
        <v>1332</v>
      </c>
      <c r="H334" s="4">
        <v>3</v>
      </c>
      <c r="I334" s="9">
        <v>110</v>
      </c>
      <c r="J334" s="3">
        <f t="shared" si="5"/>
        <v>3996</v>
      </c>
      <c r="K334" t="s">
        <v>593</v>
      </c>
    </row>
    <row r="335" spans="1:11" x14ac:dyDescent="0.3">
      <c r="A335" s="4" t="s">
        <v>342</v>
      </c>
      <c r="B335" s="5">
        <v>45096</v>
      </c>
      <c r="C335" s="9" t="s">
        <v>509</v>
      </c>
      <c r="D335" s="4" t="s">
        <v>514</v>
      </c>
      <c r="E335" s="4" t="s">
        <v>559</v>
      </c>
      <c r="F335" s="4" t="s">
        <v>584</v>
      </c>
      <c r="G335" s="9">
        <v>1933</v>
      </c>
      <c r="H335" s="4">
        <v>4</v>
      </c>
      <c r="I335" s="9">
        <v>137</v>
      </c>
      <c r="J335" s="3">
        <f t="shared" si="5"/>
        <v>7732</v>
      </c>
      <c r="K335" t="s">
        <v>595</v>
      </c>
    </row>
    <row r="336" spans="1:11" x14ac:dyDescent="0.3">
      <c r="A336" s="4" t="s">
        <v>343</v>
      </c>
      <c r="B336" s="5">
        <v>45192</v>
      </c>
      <c r="C336" s="9" t="s">
        <v>509</v>
      </c>
      <c r="D336" s="4" t="s">
        <v>526</v>
      </c>
      <c r="E336" s="4" t="s">
        <v>543</v>
      </c>
      <c r="F336" s="4" t="s">
        <v>585</v>
      </c>
      <c r="G336" s="9">
        <v>1138</v>
      </c>
      <c r="H336" s="4">
        <v>5</v>
      </c>
      <c r="I336" s="9">
        <v>107</v>
      </c>
      <c r="J336" s="3">
        <f t="shared" si="5"/>
        <v>5690</v>
      </c>
      <c r="K336" t="s">
        <v>599</v>
      </c>
    </row>
    <row r="337" spans="1:11" x14ac:dyDescent="0.3">
      <c r="A337" s="4" t="s">
        <v>344</v>
      </c>
      <c r="B337" s="5">
        <v>45274</v>
      </c>
      <c r="C337" s="9" t="s">
        <v>510</v>
      </c>
      <c r="D337" s="4" t="s">
        <v>525</v>
      </c>
      <c r="E337" s="4" t="s">
        <v>542</v>
      </c>
      <c r="F337" s="4" t="s">
        <v>584</v>
      </c>
      <c r="G337" s="9">
        <v>1197</v>
      </c>
      <c r="H337" s="4">
        <v>5</v>
      </c>
      <c r="I337" s="9">
        <v>96</v>
      </c>
      <c r="J337" s="3">
        <f t="shared" si="5"/>
        <v>5985</v>
      </c>
      <c r="K337" t="s">
        <v>594</v>
      </c>
    </row>
    <row r="338" spans="1:11" x14ac:dyDescent="0.3">
      <c r="A338" s="4" t="s">
        <v>345</v>
      </c>
      <c r="B338" s="5">
        <v>45139</v>
      </c>
      <c r="C338" s="9" t="s">
        <v>509</v>
      </c>
      <c r="D338" s="4" t="s">
        <v>516</v>
      </c>
      <c r="E338" s="4" t="s">
        <v>554</v>
      </c>
      <c r="F338" s="4" t="s">
        <v>586</v>
      </c>
      <c r="G338" s="9">
        <v>1845</v>
      </c>
      <c r="H338" s="4">
        <v>1</v>
      </c>
      <c r="I338" s="9">
        <v>135</v>
      </c>
      <c r="J338" s="3">
        <f t="shared" si="5"/>
        <v>1845</v>
      </c>
      <c r="K338" t="s">
        <v>591</v>
      </c>
    </row>
    <row r="339" spans="1:11" x14ac:dyDescent="0.3">
      <c r="A339" s="4" t="s">
        <v>346</v>
      </c>
      <c r="B339" s="5">
        <v>45160</v>
      </c>
      <c r="C339" s="9" t="s">
        <v>511</v>
      </c>
      <c r="D339" s="4" t="s">
        <v>529</v>
      </c>
      <c r="E339" s="4" t="s">
        <v>572</v>
      </c>
      <c r="F339" s="4" t="s">
        <v>583</v>
      </c>
      <c r="G339" s="9">
        <v>1579</v>
      </c>
      <c r="H339" s="4">
        <v>5</v>
      </c>
      <c r="I339" s="9">
        <v>231</v>
      </c>
      <c r="J339" s="3">
        <f t="shared" si="5"/>
        <v>7895</v>
      </c>
      <c r="K339" t="s">
        <v>591</v>
      </c>
    </row>
    <row r="340" spans="1:11" x14ac:dyDescent="0.3">
      <c r="A340" s="4" t="s">
        <v>347</v>
      </c>
      <c r="B340" s="5">
        <v>45283</v>
      </c>
      <c r="C340" s="9" t="s">
        <v>512</v>
      </c>
      <c r="D340" s="4" t="s">
        <v>522</v>
      </c>
      <c r="E340" s="4" t="s">
        <v>575</v>
      </c>
      <c r="F340" s="4" t="s">
        <v>584</v>
      </c>
      <c r="G340" s="9">
        <v>932</v>
      </c>
      <c r="H340" s="4">
        <v>1</v>
      </c>
      <c r="I340" s="9">
        <v>102</v>
      </c>
      <c r="J340" s="3">
        <f t="shared" si="5"/>
        <v>932</v>
      </c>
      <c r="K340" t="s">
        <v>594</v>
      </c>
    </row>
    <row r="341" spans="1:11" x14ac:dyDescent="0.3">
      <c r="A341" s="4" t="s">
        <v>348</v>
      </c>
      <c r="B341" s="5">
        <v>44982</v>
      </c>
      <c r="C341" s="9" t="s">
        <v>509</v>
      </c>
      <c r="D341" s="4" t="s">
        <v>513</v>
      </c>
      <c r="E341" s="4" t="s">
        <v>580</v>
      </c>
      <c r="F341" s="4" t="s">
        <v>583</v>
      </c>
      <c r="G341" s="9">
        <v>1370</v>
      </c>
      <c r="H341" s="4">
        <v>2</v>
      </c>
      <c r="I341" s="9">
        <v>323</v>
      </c>
      <c r="J341" s="3">
        <f t="shared" si="5"/>
        <v>2740</v>
      </c>
      <c r="K341" t="s">
        <v>592</v>
      </c>
    </row>
    <row r="342" spans="1:11" x14ac:dyDescent="0.3">
      <c r="A342" s="4" t="s">
        <v>349</v>
      </c>
      <c r="B342" s="5">
        <v>45008</v>
      </c>
      <c r="C342" s="9" t="s">
        <v>511</v>
      </c>
      <c r="D342" s="4" t="s">
        <v>527</v>
      </c>
      <c r="E342" s="4" t="s">
        <v>561</v>
      </c>
      <c r="F342" s="4" t="s">
        <v>585</v>
      </c>
      <c r="G342" s="9">
        <v>695</v>
      </c>
      <c r="H342" s="4">
        <v>4</v>
      </c>
      <c r="I342" s="9">
        <v>168</v>
      </c>
      <c r="J342" s="3">
        <f t="shared" si="5"/>
        <v>2780</v>
      </c>
      <c r="K342" t="s">
        <v>598</v>
      </c>
    </row>
    <row r="343" spans="1:11" x14ac:dyDescent="0.3">
      <c r="A343" s="4" t="s">
        <v>350</v>
      </c>
      <c r="B343" s="5">
        <v>45254</v>
      </c>
      <c r="C343" s="9" t="s">
        <v>511</v>
      </c>
      <c r="D343" s="4" t="s">
        <v>531</v>
      </c>
      <c r="E343" s="4" t="s">
        <v>567</v>
      </c>
      <c r="F343" s="4" t="s">
        <v>585</v>
      </c>
      <c r="G343" s="9">
        <v>1331</v>
      </c>
      <c r="H343" s="4">
        <v>4</v>
      </c>
      <c r="I343" s="9">
        <v>74</v>
      </c>
      <c r="J343" s="3">
        <f t="shared" si="5"/>
        <v>5324</v>
      </c>
      <c r="K343" t="s">
        <v>590</v>
      </c>
    </row>
    <row r="344" spans="1:11" x14ac:dyDescent="0.3">
      <c r="A344" s="4" t="s">
        <v>351</v>
      </c>
      <c r="B344" s="5">
        <v>44929</v>
      </c>
      <c r="C344" s="9" t="s">
        <v>511</v>
      </c>
      <c r="D344" s="4" t="s">
        <v>531</v>
      </c>
      <c r="E344" s="4" t="s">
        <v>537</v>
      </c>
      <c r="F344" s="4" t="s">
        <v>584</v>
      </c>
      <c r="G344" s="9">
        <v>1424</v>
      </c>
      <c r="H344" s="4">
        <v>2</v>
      </c>
      <c r="I344" s="9">
        <v>150</v>
      </c>
      <c r="J344" s="3">
        <f t="shared" si="5"/>
        <v>2848</v>
      </c>
      <c r="K344" t="s">
        <v>589</v>
      </c>
    </row>
    <row r="345" spans="1:11" x14ac:dyDescent="0.3">
      <c r="A345" s="4" t="s">
        <v>352</v>
      </c>
      <c r="B345" s="5">
        <v>45022</v>
      </c>
      <c r="C345" s="9" t="s">
        <v>509</v>
      </c>
      <c r="D345" s="4" t="s">
        <v>514</v>
      </c>
      <c r="E345" s="4" t="s">
        <v>581</v>
      </c>
      <c r="F345" s="4" t="s">
        <v>586</v>
      </c>
      <c r="G345" s="9">
        <v>763</v>
      </c>
      <c r="H345" s="4">
        <v>2</v>
      </c>
      <c r="I345" s="9">
        <v>108</v>
      </c>
      <c r="J345" s="3">
        <f t="shared" si="5"/>
        <v>1526</v>
      </c>
      <c r="K345" t="s">
        <v>588</v>
      </c>
    </row>
    <row r="346" spans="1:11" x14ac:dyDescent="0.3">
      <c r="A346" s="4" t="s">
        <v>353</v>
      </c>
      <c r="B346" s="5">
        <v>45125</v>
      </c>
      <c r="C346" s="9" t="s">
        <v>510</v>
      </c>
      <c r="D346" s="4" t="s">
        <v>525</v>
      </c>
      <c r="E346" s="4" t="s">
        <v>556</v>
      </c>
      <c r="F346" s="4" t="s">
        <v>583</v>
      </c>
      <c r="G346" s="9">
        <v>1242</v>
      </c>
      <c r="H346" s="4">
        <v>5</v>
      </c>
      <c r="I346" s="9">
        <v>90</v>
      </c>
      <c r="J346" s="3">
        <f t="shared" si="5"/>
        <v>6210</v>
      </c>
      <c r="K346" t="s">
        <v>596</v>
      </c>
    </row>
    <row r="347" spans="1:11" x14ac:dyDescent="0.3">
      <c r="A347" s="4" t="s">
        <v>354</v>
      </c>
      <c r="B347" s="5">
        <v>45288</v>
      </c>
      <c r="C347" s="9" t="s">
        <v>510</v>
      </c>
      <c r="D347" s="4" t="s">
        <v>525</v>
      </c>
      <c r="E347" s="4" t="s">
        <v>549</v>
      </c>
      <c r="F347" s="4" t="s">
        <v>585</v>
      </c>
      <c r="G347" s="9">
        <v>1611</v>
      </c>
      <c r="H347" s="4">
        <v>5</v>
      </c>
      <c r="I347" s="9">
        <v>270</v>
      </c>
      <c r="J347" s="3">
        <f t="shared" si="5"/>
        <v>8055</v>
      </c>
      <c r="K347" t="s">
        <v>594</v>
      </c>
    </row>
    <row r="348" spans="1:11" x14ac:dyDescent="0.3">
      <c r="A348" s="4" t="s">
        <v>355</v>
      </c>
      <c r="B348" s="5">
        <v>45083</v>
      </c>
      <c r="C348" s="9" t="s">
        <v>511</v>
      </c>
      <c r="D348" s="4" t="s">
        <v>529</v>
      </c>
      <c r="E348" s="4" t="s">
        <v>533</v>
      </c>
      <c r="F348" s="4" t="s">
        <v>586</v>
      </c>
      <c r="G348" s="9">
        <v>278</v>
      </c>
      <c r="H348" s="4">
        <v>3</v>
      </c>
      <c r="I348" s="9">
        <v>52</v>
      </c>
      <c r="J348" s="3">
        <f t="shared" si="5"/>
        <v>834</v>
      </c>
      <c r="K348" t="s">
        <v>595</v>
      </c>
    </row>
    <row r="349" spans="1:11" x14ac:dyDescent="0.3">
      <c r="A349" s="4" t="s">
        <v>356</v>
      </c>
      <c r="B349" s="5">
        <v>45123</v>
      </c>
      <c r="C349" s="9" t="s">
        <v>512</v>
      </c>
      <c r="D349" s="4" t="s">
        <v>521</v>
      </c>
      <c r="E349" s="4" t="s">
        <v>574</v>
      </c>
      <c r="F349" s="4" t="s">
        <v>585</v>
      </c>
      <c r="G349" s="9">
        <v>874</v>
      </c>
      <c r="H349" s="4">
        <v>4</v>
      </c>
      <c r="I349" s="9">
        <v>154</v>
      </c>
      <c r="J349" s="3">
        <f t="shared" si="5"/>
        <v>3496</v>
      </c>
      <c r="K349" t="s">
        <v>596</v>
      </c>
    </row>
    <row r="350" spans="1:11" x14ac:dyDescent="0.3">
      <c r="A350" s="4" t="s">
        <v>357</v>
      </c>
      <c r="B350" s="5">
        <v>45074</v>
      </c>
      <c r="C350" s="9" t="s">
        <v>511</v>
      </c>
      <c r="D350" s="4" t="s">
        <v>527</v>
      </c>
      <c r="E350" s="4" t="s">
        <v>544</v>
      </c>
      <c r="F350" s="4" t="s">
        <v>585</v>
      </c>
      <c r="G350" s="9">
        <v>323</v>
      </c>
      <c r="H350" s="4">
        <v>3</v>
      </c>
      <c r="I350" s="9">
        <v>70</v>
      </c>
      <c r="J350" s="3">
        <f t="shared" si="5"/>
        <v>969</v>
      </c>
      <c r="K350" t="s">
        <v>593</v>
      </c>
    </row>
    <row r="351" spans="1:11" x14ac:dyDescent="0.3">
      <c r="A351" s="4" t="s">
        <v>358</v>
      </c>
      <c r="B351" s="5">
        <v>44996</v>
      </c>
      <c r="C351" s="9" t="s">
        <v>509</v>
      </c>
      <c r="D351" s="4" t="s">
        <v>526</v>
      </c>
      <c r="E351" s="4" t="s">
        <v>544</v>
      </c>
      <c r="F351" s="4" t="s">
        <v>586</v>
      </c>
      <c r="G351" s="9">
        <v>430</v>
      </c>
      <c r="H351" s="4">
        <v>4</v>
      </c>
      <c r="I351" s="9">
        <v>104</v>
      </c>
      <c r="J351" s="3">
        <f t="shared" si="5"/>
        <v>1720</v>
      </c>
      <c r="K351" t="s">
        <v>598</v>
      </c>
    </row>
    <row r="352" spans="1:11" x14ac:dyDescent="0.3">
      <c r="A352" s="4" t="s">
        <v>359</v>
      </c>
      <c r="B352" s="5">
        <v>45290</v>
      </c>
      <c r="C352" s="9" t="s">
        <v>512</v>
      </c>
      <c r="D352" s="4" t="s">
        <v>521</v>
      </c>
      <c r="E352" s="4" t="s">
        <v>548</v>
      </c>
      <c r="F352" s="4" t="s">
        <v>584</v>
      </c>
      <c r="G352" s="9">
        <v>1687</v>
      </c>
      <c r="H352" s="4">
        <v>4</v>
      </c>
      <c r="I352" s="9">
        <v>140</v>
      </c>
      <c r="J352" s="3">
        <f t="shared" si="5"/>
        <v>6748</v>
      </c>
      <c r="K352" t="s">
        <v>594</v>
      </c>
    </row>
    <row r="353" spans="1:11" x14ac:dyDescent="0.3">
      <c r="A353" s="4" t="s">
        <v>360</v>
      </c>
      <c r="B353" s="5">
        <v>45067</v>
      </c>
      <c r="C353" s="9" t="s">
        <v>509</v>
      </c>
      <c r="D353" s="4" t="s">
        <v>518</v>
      </c>
      <c r="E353" s="4" t="s">
        <v>534</v>
      </c>
      <c r="F353" s="4" t="s">
        <v>583</v>
      </c>
      <c r="G353" s="9">
        <v>488</v>
      </c>
      <c r="H353" s="4">
        <v>3</v>
      </c>
      <c r="I353" s="9">
        <v>40</v>
      </c>
      <c r="J353" s="3">
        <f t="shared" si="5"/>
        <v>1464</v>
      </c>
      <c r="K353" t="s">
        <v>593</v>
      </c>
    </row>
    <row r="354" spans="1:11" x14ac:dyDescent="0.3">
      <c r="A354" s="4" t="s">
        <v>361</v>
      </c>
      <c r="B354" s="5">
        <v>45188</v>
      </c>
      <c r="C354" s="9" t="s">
        <v>512</v>
      </c>
      <c r="D354" s="4" t="s">
        <v>530</v>
      </c>
      <c r="E354" s="4" t="s">
        <v>561</v>
      </c>
      <c r="F354" s="4" t="s">
        <v>584</v>
      </c>
      <c r="G354" s="9">
        <v>270</v>
      </c>
      <c r="H354" s="4">
        <v>1</v>
      </c>
      <c r="I354" s="9">
        <v>28</v>
      </c>
      <c r="J354" s="3">
        <f t="shared" si="5"/>
        <v>270</v>
      </c>
      <c r="K354" t="s">
        <v>599</v>
      </c>
    </row>
    <row r="355" spans="1:11" x14ac:dyDescent="0.3">
      <c r="A355" s="4" t="s">
        <v>362</v>
      </c>
      <c r="B355" s="5">
        <v>45152</v>
      </c>
      <c r="C355" s="9" t="s">
        <v>510</v>
      </c>
      <c r="D355" s="4" t="s">
        <v>517</v>
      </c>
      <c r="E355" s="4" t="s">
        <v>559</v>
      </c>
      <c r="F355" s="4" t="s">
        <v>586</v>
      </c>
      <c r="G355" s="9">
        <v>1115</v>
      </c>
      <c r="H355" s="4">
        <v>4</v>
      </c>
      <c r="I355" s="9">
        <v>78</v>
      </c>
      <c r="J355" s="3">
        <f t="shared" si="5"/>
        <v>4460</v>
      </c>
      <c r="K355" t="s">
        <v>591</v>
      </c>
    </row>
    <row r="356" spans="1:11" x14ac:dyDescent="0.3">
      <c r="A356" s="4" t="s">
        <v>363</v>
      </c>
      <c r="B356" s="5">
        <v>45061</v>
      </c>
      <c r="C356" s="9" t="s">
        <v>511</v>
      </c>
      <c r="D356" s="4" t="s">
        <v>529</v>
      </c>
      <c r="E356" s="4" t="s">
        <v>576</v>
      </c>
      <c r="F356" s="4" t="s">
        <v>586</v>
      </c>
      <c r="G356" s="9">
        <v>729</v>
      </c>
      <c r="H356" s="4">
        <v>1</v>
      </c>
      <c r="I356" s="9">
        <v>100</v>
      </c>
      <c r="J356" s="3">
        <f t="shared" si="5"/>
        <v>729</v>
      </c>
      <c r="K356" t="s">
        <v>593</v>
      </c>
    </row>
    <row r="357" spans="1:11" x14ac:dyDescent="0.3">
      <c r="A357" s="4" t="s">
        <v>364</v>
      </c>
      <c r="B357" s="5">
        <v>45228</v>
      </c>
      <c r="C357" s="9" t="s">
        <v>509</v>
      </c>
      <c r="D357" s="4" t="s">
        <v>518</v>
      </c>
      <c r="E357" s="4" t="s">
        <v>573</v>
      </c>
      <c r="F357" s="4" t="s">
        <v>585</v>
      </c>
      <c r="G357" s="9">
        <v>1393</v>
      </c>
      <c r="H357" s="4">
        <v>5</v>
      </c>
      <c r="I357" s="9">
        <v>246</v>
      </c>
      <c r="J357" s="3">
        <f t="shared" si="5"/>
        <v>6965</v>
      </c>
      <c r="K357" t="s">
        <v>597</v>
      </c>
    </row>
    <row r="358" spans="1:11" x14ac:dyDescent="0.3">
      <c r="A358" s="4" t="s">
        <v>365</v>
      </c>
      <c r="B358" s="5">
        <v>45032</v>
      </c>
      <c r="C358" s="9" t="s">
        <v>511</v>
      </c>
      <c r="D358" s="4" t="s">
        <v>527</v>
      </c>
      <c r="E358" s="4" t="s">
        <v>565</v>
      </c>
      <c r="F358" s="4" t="s">
        <v>585</v>
      </c>
      <c r="G358" s="9">
        <v>1620</v>
      </c>
      <c r="H358" s="4">
        <v>5</v>
      </c>
      <c r="I358" s="9">
        <v>194</v>
      </c>
      <c r="J358" s="3">
        <f t="shared" si="5"/>
        <v>8100</v>
      </c>
      <c r="K358" t="s">
        <v>588</v>
      </c>
    </row>
    <row r="359" spans="1:11" x14ac:dyDescent="0.3">
      <c r="A359" s="4" t="s">
        <v>366</v>
      </c>
      <c r="B359" s="5">
        <v>45287</v>
      </c>
      <c r="C359" s="9" t="s">
        <v>510</v>
      </c>
      <c r="D359" s="4" t="s">
        <v>517</v>
      </c>
      <c r="E359" s="4" t="s">
        <v>570</v>
      </c>
      <c r="F359" s="4" t="s">
        <v>585</v>
      </c>
      <c r="G359" s="9">
        <v>620</v>
      </c>
      <c r="H359" s="4">
        <v>5</v>
      </c>
      <c r="I359" s="9">
        <v>64</v>
      </c>
      <c r="J359" s="3">
        <f t="shared" si="5"/>
        <v>3100</v>
      </c>
      <c r="K359" t="s">
        <v>594</v>
      </c>
    </row>
    <row r="360" spans="1:11" x14ac:dyDescent="0.3">
      <c r="A360" s="4" t="s">
        <v>367</v>
      </c>
      <c r="B360" s="5">
        <v>45068</v>
      </c>
      <c r="C360" s="9" t="s">
        <v>509</v>
      </c>
      <c r="D360" s="4" t="s">
        <v>518</v>
      </c>
      <c r="E360" s="4" t="s">
        <v>555</v>
      </c>
      <c r="F360" s="4" t="s">
        <v>584</v>
      </c>
      <c r="G360" s="9">
        <v>1740</v>
      </c>
      <c r="H360" s="4">
        <v>2</v>
      </c>
      <c r="I360" s="9">
        <v>331</v>
      </c>
      <c r="J360" s="3">
        <f t="shared" si="5"/>
        <v>3480</v>
      </c>
      <c r="K360" t="s">
        <v>593</v>
      </c>
    </row>
    <row r="361" spans="1:11" x14ac:dyDescent="0.3">
      <c r="A361" s="4" t="s">
        <v>368</v>
      </c>
      <c r="B361" s="5">
        <v>45091</v>
      </c>
      <c r="C361" s="9" t="s">
        <v>511</v>
      </c>
      <c r="D361" s="4" t="s">
        <v>520</v>
      </c>
      <c r="E361" s="4" t="s">
        <v>535</v>
      </c>
      <c r="F361" s="4" t="s">
        <v>585</v>
      </c>
      <c r="G361" s="9">
        <v>1665</v>
      </c>
      <c r="H361" s="4">
        <v>4</v>
      </c>
      <c r="I361" s="9">
        <v>246</v>
      </c>
      <c r="J361" s="3">
        <f t="shared" si="5"/>
        <v>6660</v>
      </c>
      <c r="K361" t="s">
        <v>595</v>
      </c>
    </row>
    <row r="362" spans="1:11" x14ac:dyDescent="0.3">
      <c r="A362" s="4" t="s">
        <v>369</v>
      </c>
      <c r="B362" s="5">
        <v>44965</v>
      </c>
      <c r="C362" s="9" t="s">
        <v>510</v>
      </c>
      <c r="D362" s="4" t="s">
        <v>525</v>
      </c>
      <c r="E362" s="4" t="s">
        <v>576</v>
      </c>
      <c r="F362" s="4" t="s">
        <v>584</v>
      </c>
      <c r="G362" s="9">
        <v>1285</v>
      </c>
      <c r="H362" s="4">
        <v>1</v>
      </c>
      <c r="I362" s="9">
        <v>167</v>
      </c>
      <c r="J362" s="3">
        <f t="shared" si="5"/>
        <v>1285</v>
      </c>
      <c r="K362" t="s">
        <v>592</v>
      </c>
    </row>
    <row r="363" spans="1:11" x14ac:dyDescent="0.3">
      <c r="A363" s="4" t="s">
        <v>370</v>
      </c>
      <c r="B363" s="5">
        <v>45094</v>
      </c>
      <c r="C363" s="9" t="s">
        <v>510</v>
      </c>
      <c r="D363" s="4" t="s">
        <v>528</v>
      </c>
      <c r="E363" s="4" t="s">
        <v>544</v>
      </c>
      <c r="F363" s="4" t="s">
        <v>584</v>
      </c>
      <c r="G363" s="9">
        <v>1184</v>
      </c>
      <c r="H363" s="4">
        <v>1</v>
      </c>
      <c r="I363" s="9">
        <v>232</v>
      </c>
      <c r="J363" s="3">
        <f t="shared" si="5"/>
        <v>1184</v>
      </c>
      <c r="K363" t="s">
        <v>595</v>
      </c>
    </row>
    <row r="364" spans="1:11" x14ac:dyDescent="0.3">
      <c r="A364" s="4" t="s">
        <v>371</v>
      </c>
      <c r="B364" s="5">
        <v>45130</v>
      </c>
      <c r="C364" s="9" t="s">
        <v>512</v>
      </c>
      <c r="D364" s="4" t="s">
        <v>532</v>
      </c>
      <c r="E364" s="4" t="s">
        <v>581</v>
      </c>
      <c r="F364" s="4" t="s">
        <v>586</v>
      </c>
      <c r="G364" s="9">
        <v>474</v>
      </c>
      <c r="H364" s="4">
        <v>4</v>
      </c>
      <c r="I364" s="9">
        <v>102</v>
      </c>
      <c r="J364" s="3">
        <f t="shared" si="5"/>
        <v>1896</v>
      </c>
      <c r="K364" t="s">
        <v>596</v>
      </c>
    </row>
    <row r="365" spans="1:11" x14ac:dyDescent="0.3">
      <c r="A365" s="4" t="s">
        <v>372</v>
      </c>
      <c r="B365" s="5">
        <v>45099</v>
      </c>
      <c r="C365" s="9" t="s">
        <v>512</v>
      </c>
      <c r="D365" s="4" t="s">
        <v>532</v>
      </c>
      <c r="E365" s="4" t="s">
        <v>554</v>
      </c>
      <c r="F365" s="4" t="s">
        <v>583</v>
      </c>
      <c r="G365" s="9">
        <v>1117</v>
      </c>
      <c r="H365" s="4">
        <v>2</v>
      </c>
      <c r="I365" s="9">
        <v>182</v>
      </c>
      <c r="J365" s="3">
        <f t="shared" si="5"/>
        <v>2234</v>
      </c>
      <c r="K365" t="s">
        <v>595</v>
      </c>
    </row>
    <row r="366" spans="1:11" x14ac:dyDescent="0.3">
      <c r="A366" s="4" t="s">
        <v>373</v>
      </c>
      <c r="B366" s="5">
        <v>44977</v>
      </c>
      <c r="C366" s="9" t="s">
        <v>512</v>
      </c>
      <c r="D366" s="4" t="s">
        <v>532</v>
      </c>
      <c r="E366" s="4" t="s">
        <v>534</v>
      </c>
      <c r="F366" s="4" t="s">
        <v>586</v>
      </c>
      <c r="G366" s="9">
        <v>1271</v>
      </c>
      <c r="H366" s="4">
        <v>4</v>
      </c>
      <c r="I366" s="9">
        <v>67</v>
      </c>
      <c r="J366" s="3">
        <f t="shared" si="5"/>
        <v>5084</v>
      </c>
      <c r="K366" t="s">
        <v>592</v>
      </c>
    </row>
    <row r="367" spans="1:11" x14ac:dyDescent="0.3">
      <c r="A367" s="4" t="s">
        <v>374</v>
      </c>
      <c r="B367" s="5">
        <v>45146</v>
      </c>
      <c r="C367" s="9" t="s">
        <v>511</v>
      </c>
      <c r="D367" s="4" t="s">
        <v>531</v>
      </c>
      <c r="E367" s="4" t="s">
        <v>553</v>
      </c>
      <c r="F367" s="4" t="s">
        <v>584</v>
      </c>
      <c r="G367" s="9">
        <v>444</v>
      </c>
      <c r="H367" s="4">
        <v>2</v>
      </c>
      <c r="I367" s="9">
        <v>100</v>
      </c>
      <c r="J367" s="3">
        <f t="shared" si="5"/>
        <v>888</v>
      </c>
      <c r="K367" t="s">
        <v>591</v>
      </c>
    </row>
    <row r="368" spans="1:11" x14ac:dyDescent="0.3">
      <c r="A368" s="4" t="s">
        <v>375</v>
      </c>
      <c r="B368" s="5">
        <v>45262</v>
      </c>
      <c r="C368" s="9" t="s">
        <v>510</v>
      </c>
      <c r="D368" s="4" t="s">
        <v>519</v>
      </c>
      <c r="E368" s="4" t="s">
        <v>566</v>
      </c>
      <c r="F368" s="4" t="s">
        <v>583</v>
      </c>
      <c r="G368" s="9">
        <v>752</v>
      </c>
      <c r="H368" s="4">
        <v>1</v>
      </c>
      <c r="I368" s="9">
        <v>93</v>
      </c>
      <c r="J368" s="3">
        <f t="shared" si="5"/>
        <v>752</v>
      </c>
      <c r="K368" t="s">
        <v>594</v>
      </c>
    </row>
    <row r="369" spans="1:11" x14ac:dyDescent="0.3">
      <c r="A369" s="4" t="s">
        <v>376</v>
      </c>
      <c r="B369" s="5">
        <v>45083</v>
      </c>
      <c r="C369" s="9" t="s">
        <v>511</v>
      </c>
      <c r="D369" s="4" t="s">
        <v>524</v>
      </c>
      <c r="E369" s="4" t="s">
        <v>569</v>
      </c>
      <c r="F369" s="4" t="s">
        <v>584</v>
      </c>
      <c r="G369" s="9">
        <v>1465</v>
      </c>
      <c r="H369" s="4">
        <v>2</v>
      </c>
      <c r="I369" s="9">
        <v>199</v>
      </c>
      <c r="J369" s="3">
        <f t="shared" si="5"/>
        <v>2930</v>
      </c>
      <c r="K369" t="s">
        <v>595</v>
      </c>
    </row>
    <row r="370" spans="1:11" x14ac:dyDescent="0.3">
      <c r="A370" s="4" t="s">
        <v>377</v>
      </c>
      <c r="B370" s="5">
        <v>45171</v>
      </c>
      <c r="C370" s="9" t="s">
        <v>509</v>
      </c>
      <c r="D370" s="4" t="s">
        <v>513</v>
      </c>
      <c r="E370" s="4" t="s">
        <v>565</v>
      </c>
      <c r="F370" s="4" t="s">
        <v>586</v>
      </c>
      <c r="G370" s="9">
        <v>201</v>
      </c>
      <c r="H370" s="4">
        <v>5</v>
      </c>
      <c r="I370" s="9">
        <v>19</v>
      </c>
      <c r="J370" s="3">
        <f t="shared" si="5"/>
        <v>1005</v>
      </c>
      <c r="K370" t="s">
        <v>599</v>
      </c>
    </row>
    <row r="371" spans="1:11" x14ac:dyDescent="0.3">
      <c r="A371" s="4" t="s">
        <v>378</v>
      </c>
      <c r="B371" s="5">
        <v>45102</v>
      </c>
      <c r="C371" s="9" t="s">
        <v>512</v>
      </c>
      <c r="D371" s="4" t="s">
        <v>522</v>
      </c>
      <c r="E371" s="4" t="s">
        <v>536</v>
      </c>
      <c r="F371" s="4" t="s">
        <v>586</v>
      </c>
      <c r="G371" s="9">
        <v>1643</v>
      </c>
      <c r="H371" s="4">
        <v>4</v>
      </c>
      <c r="I371" s="9">
        <v>310</v>
      </c>
      <c r="J371" s="3">
        <f t="shared" si="5"/>
        <v>6572</v>
      </c>
      <c r="K371" t="s">
        <v>595</v>
      </c>
    </row>
    <row r="372" spans="1:11" x14ac:dyDescent="0.3">
      <c r="A372" s="4" t="s">
        <v>379</v>
      </c>
      <c r="B372" s="5">
        <v>44972</v>
      </c>
      <c r="C372" s="9" t="s">
        <v>512</v>
      </c>
      <c r="D372" s="4" t="s">
        <v>522</v>
      </c>
      <c r="E372" s="4" t="s">
        <v>537</v>
      </c>
      <c r="F372" s="4" t="s">
        <v>585</v>
      </c>
      <c r="G372" s="9">
        <v>1474</v>
      </c>
      <c r="H372" s="4">
        <v>1</v>
      </c>
      <c r="I372" s="9">
        <v>104</v>
      </c>
      <c r="J372" s="3">
        <f t="shared" si="5"/>
        <v>1474</v>
      </c>
      <c r="K372" t="s">
        <v>592</v>
      </c>
    </row>
    <row r="373" spans="1:11" x14ac:dyDescent="0.3">
      <c r="A373" s="4" t="s">
        <v>380</v>
      </c>
      <c r="B373" s="5">
        <v>44995</v>
      </c>
      <c r="C373" s="9" t="s">
        <v>510</v>
      </c>
      <c r="D373" s="4" t="s">
        <v>528</v>
      </c>
      <c r="E373" s="4" t="s">
        <v>537</v>
      </c>
      <c r="F373" s="4" t="s">
        <v>585</v>
      </c>
      <c r="G373" s="9">
        <v>1301</v>
      </c>
      <c r="H373" s="4">
        <v>2</v>
      </c>
      <c r="I373" s="9">
        <v>82</v>
      </c>
      <c r="J373" s="3">
        <f t="shared" si="5"/>
        <v>2602</v>
      </c>
      <c r="K373" t="s">
        <v>598</v>
      </c>
    </row>
    <row r="374" spans="1:11" x14ac:dyDescent="0.3">
      <c r="A374" s="4" t="s">
        <v>381</v>
      </c>
      <c r="B374" s="5">
        <v>45106</v>
      </c>
      <c r="C374" s="9" t="s">
        <v>509</v>
      </c>
      <c r="D374" s="4" t="s">
        <v>514</v>
      </c>
      <c r="E374" s="4" t="s">
        <v>576</v>
      </c>
      <c r="F374" s="4" t="s">
        <v>585</v>
      </c>
      <c r="G374" s="9">
        <v>1458</v>
      </c>
      <c r="H374" s="4">
        <v>2</v>
      </c>
      <c r="I374" s="9">
        <v>341</v>
      </c>
      <c r="J374" s="3">
        <f t="shared" si="5"/>
        <v>2916</v>
      </c>
      <c r="K374" t="s">
        <v>595</v>
      </c>
    </row>
    <row r="375" spans="1:11" x14ac:dyDescent="0.3">
      <c r="A375" s="4" t="s">
        <v>382</v>
      </c>
      <c r="B375" s="5">
        <v>44998</v>
      </c>
      <c r="C375" s="9" t="s">
        <v>512</v>
      </c>
      <c r="D375" s="4" t="s">
        <v>523</v>
      </c>
      <c r="E375" s="4" t="s">
        <v>578</v>
      </c>
      <c r="F375" s="4" t="s">
        <v>586</v>
      </c>
      <c r="G375" s="9">
        <v>1517</v>
      </c>
      <c r="H375" s="4">
        <v>5</v>
      </c>
      <c r="I375" s="9">
        <v>297</v>
      </c>
      <c r="J375" s="3">
        <f t="shared" si="5"/>
        <v>7585</v>
      </c>
      <c r="K375" t="s">
        <v>598</v>
      </c>
    </row>
    <row r="376" spans="1:11" x14ac:dyDescent="0.3">
      <c r="A376" s="4" t="s">
        <v>383</v>
      </c>
      <c r="B376" s="5">
        <v>45053</v>
      </c>
      <c r="C376" s="9" t="s">
        <v>510</v>
      </c>
      <c r="D376" s="4" t="s">
        <v>525</v>
      </c>
      <c r="E376" s="4" t="s">
        <v>545</v>
      </c>
      <c r="F376" s="4" t="s">
        <v>583</v>
      </c>
      <c r="G376" s="9">
        <v>590</v>
      </c>
      <c r="H376" s="4">
        <v>1</v>
      </c>
      <c r="I376" s="9">
        <v>58</v>
      </c>
      <c r="J376" s="3">
        <f t="shared" si="5"/>
        <v>590</v>
      </c>
      <c r="K376" t="s">
        <v>593</v>
      </c>
    </row>
    <row r="377" spans="1:11" x14ac:dyDescent="0.3">
      <c r="A377" s="4" t="s">
        <v>384</v>
      </c>
      <c r="B377" s="5">
        <v>45192</v>
      </c>
      <c r="C377" s="9" t="s">
        <v>510</v>
      </c>
      <c r="D377" s="4" t="s">
        <v>515</v>
      </c>
      <c r="E377" s="4" t="s">
        <v>565</v>
      </c>
      <c r="F377" s="4" t="s">
        <v>583</v>
      </c>
      <c r="G377" s="9">
        <v>1233</v>
      </c>
      <c r="H377" s="4">
        <v>2</v>
      </c>
      <c r="I377" s="9">
        <v>246</v>
      </c>
      <c r="J377" s="3">
        <f t="shared" si="5"/>
        <v>2466</v>
      </c>
      <c r="K377" t="s">
        <v>599</v>
      </c>
    </row>
    <row r="378" spans="1:11" x14ac:dyDescent="0.3">
      <c r="A378" s="4" t="s">
        <v>385</v>
      </c>
      <c r="B378" s="5">
        <v>45124</v>
      </c>
      <c r="C378" s="9" t="s">
        <v>510</v>
      </c>
      <c r="D378" s="4" t="s">
        <v>515</v>
      </c>
      <c r="E378" s="4" t="s">
        <v>544</v>
      </c>
      <c r="F378" s="4" t="s">
        <v>585</v>
      </c>
      <c r="G378" s="9">
        <v>269</v>
      </c>
      <c r="H378" s="4">
        <v>4</v>
      </c>
      <c r="I378" s="9">
        <v>47</v>
      </c>
      <c r="J378" s="3">
        <f t="shared" si="5"/>
        <v>1076</v>
      </c>
      <c r="K378" t="s">
        <v>596</v>
      </c>
    </row>
    <row r="379" spans="1:11" x14ac:dyDescent="0.3">
      <c r="A379" s="4" t="s">
        <v>386</v>
      </c>
      <c r="B379" s="5">
        <v>45089</v>
      </c>
      <c r="C379" s="9" t="s">
        <v>509</v>
      </c>
      <c r="D379" s="4" t="s">
        <v>514</v>
      </c>
      <c r="E379" s="4" t="s">
        <v>564</v>
      </c>
      <c r="F379" s="4" t="s">
        <v>586</v>
      </c>
      <c r="G379" s="9">
        <v>307</v>
      </c>
      <c r="H379" s="4">
        <v>5</v>
      </c>
      <c r="I379" s="9">
        <v>41</v>
      </c>
      <c r="J379" s="3">
        <f t="shared" si="5"/>
        <v>1535</v>
      </c>
      <c r="K379" t="s">
        <v>595</v>
      </c>
    </row>
    <row r="380" spans="1:11" x14ac:dyDescent="0.3">
      <c r="A380" s="4" t="s">
        <v>387</v>
      </c>
      <c r="B380" s="5">
        <v>45227</v>
      </c>
      <c r="C380" s="9" t="s">
        <v>511</v>
      </c>
      <c r="D380" s="4" t="s">
        <v>531</v>
      </c>
      <c r="E380" s="4" t="s">
        <v>582</v>
      </c>
      <c r="F380" s="4" t="s">
        <v>586</v>
      </c>
      <c r="G380" s="9">
        <v>181</v>
      </c>
      <c r="H380" s="4">
        <v>3</v>
      </c>
      <c r="I380" s="9">
        <v>16</v>
      </c>
      <c r="J380" s="3">
        <f t="shared" si="5"/>
        <v>543</v>
      </c>
      <c r="K380" t="s">
        <v>597</v>
      </c>
    </row>
    <row r="381" spans="1:11" x14ac:dyDescent="0.3">
      <c r="A381" s="4" t="s">
        <v>388</v>
      </c>
      <c r="B381" s="5">
        <v>45291</v>
      </c>
      <c r="C381" s="9" t="s">
        <v>509</v>
      </c>
      <c r="D381" s="4" t="s">
        <v>516</v>
      </c>
      <c r="E381" s="4" t="s">
        <v>569</v>
      </c>
      <c r="F381" s="4" t="s">
        <v>583</v>
      </c>
      <c r="G381" s="9">
        <v>1027</v>
      </c>
      <c r="H381" s="4">
        <v>4</v>
      </c>
      <c r="I381" s="9">
        <v>138</v>
      </c>
      <c r="J381" s="3">
        <f t="shared" si="5"/>
        <v>4108</v>
      </c>
      <c r="K381" t="s">
        <v>594</v>
      </c>
    </row>
    <row r="382" spans="1:11" x14ac:dyDescent="0.3">
      <c r="A382" s="4" t="s">
        <v>389</v>
      </c>
      <c r="B382" s="5">
        <v>44969</v>
      </c>
      <c r="C382" s="9" t="s">
        <v>512</v>
      </c>
      <c r="D382" s="4" t="s">
        <v>522</v>
      </c>
      <c r="E382" s="4" t="s">
        <v>547</v>
      </c>
      <c r="F382" s="4" t="s">
        <v>585</v>
      </c>
      <c r="G382" s="9">
        <v>654</v>
      </c>
      <c r="H382" s="4">
        <v>5</v>
      </c>
      <c r="I382" s="9">
        <v>153</v>
      </c>
      <c r="J382" s="3">
        <f t="shared" si="5"/>
        <v>3270</v>
      </c>
      <c r="K382" t="s">
        <v>592</v>
      </c>
    </row>
    <row r="383" spans="1:11" x14ac:dyDescent="0.3">
      <c r="A383" s="4" t="s">
        <v>390</v>
      </c>
      <c r="B383" s="5">
        <v>45227</v>
      </c>
      <c r="C383" s="9" t="s">
        <v>511</v>
      </c>
      <c r="D383" s="4" t="s">
        <v>527</v>
      </c>
      <c r="E383" s="4" t="s">
        <v>538</v>
      </c>
      <c r="F383" s="4" t="s">
        <v>583</v>
      </c>
      <c r="G383" s="9">
        <v>1286</v>
      </c>
      <c r="H383" s="4">
        <v>1</v>
      </c>
      <c r="I383" s="9">
        <v>144</v>
      </c>
      <c r="J383" s="3">
        <f t="shared" si="5"/>
        <v>1286</v>
      </c>
      <c r="K383" t="s">
        <v>597</v>
      </c>
    </row>
    <row r="384" spans="1:11" x14ac:dyDescent="0.3">
      <c r="A384" s="4" t="s">
        <v>391</v>
      </c>
      <c r="B384" s="5">
        <v>44971</v>
      </c>
      <c r="C384" s="9" t="s">
        <v>512</v>
      </c>
      <c r="D384" s="4" t="s">
        <v>523</v>
      </c>
      <c r="E384" s="4" t="s">
        <v>533</v>
      </c>
      <c r="F384" s="4" t="s">
        <v>586</v>
      </c>
      <c r="G384" s="9">
        <v>1853</v>
      </c>
      <c r="H384" s="4">
        <v>1</v>
      </c>
      <c r="I384" s="9">
        <v>260</v>
      </c>
      <c r="J384" s="3">
        <f t="shared" si="5"/>
        <v>1853</v>
      </c>
      <c r="K384" t="s">
        <v>592</v>
      </c>
    </row>
    <row r="385" spans="1:11" x14ac:dyDescent="0.3">
      <c r="A385" s="4" t="s">
        <v>392</v>
      </c>
      <c r="B385" s="5">
        <v>44933</v>
      </c>
      <c r="C385" s="9" t="s">
        <v>509</v>
      </c>
      <c r="D385" s="4" t="s">
        <v>526</v>
      </c>
      <c r="E385" s="4" t="s">
        <v>577</v>
      </c>
      <c r="F385" s="4" t="s">
        <v>585</v>
      </c>
      <c r="G385" s="9">
        <v>1430</v>
      </c>
      <c r="H385" s="4">
        <v>1</v>
      </c>
      <c r="I385" s="9">
        <v>118</v>
      </c>
      <c r="J385" s="3">
        <f t="shared" si="5"/>
        <v>1430</v>
      </c>
      <c r="K385" t="s">
        <v>589</v>
      </c>
    </row>
    <row r="386" spans="1:11" x14ac:dyDescent="0.3">
      <c r="A386" s="4" t="s">
        <v>393</v>
      </c>
      <c r="B386" s="5">
        <v>45117</v>
      </c>
      <c r="C386" s="9" t="s">
        <v>510</v>
      </c>
      <c r="D386" s="4" t="s">
        <v>517</v>
      </c>
      <c r="E386" s="4" t="s">
        <v>552</v>
      </c>
      <c r="F386" s="4" t="s">
        <v>583</v>
      </c>
      <c r="G386" s="9">
        <v>297</v>
      </c>
      <c r="H386" s="4">
        <v>3</v>
      </c>
      <c r="I386" s="9">
        <v>58</v>
      </c>
      <c r="J386" s="3">
        <f t="shared" si="5"/>
        <v>891</v>
      </c>
      <c r="K386" t="s">
        <v>596</v>
      </c>
    </row>
    <row r="387" spans="1:11" x14ac:dyDescent="0.3">
      <c r="A387" s="4" t="s">
        <v>394</v>
      </c>
      <c r="B387" s="5">
        <v>45066</v>
      </c>
      <c r="C387" s="9" t="s">
        <v>509</v>
      </c>
      <c r="D387" s="4" t="s">
        <v>513</v>
      </c>
      <c r="E387" s="4" t="s">
        <v>562</v>
      </c>
      <c r="F387" s="4" t="s">
        <v>583</v>
      </c>
      <c r="G387" s="9">
        <v>1071</v>
      </c>
      <c r="H387" s="4">
        <v>3</v>
      </c>
      <c r="I387" s="9">
        <v>206</v>
      </c>
      <c r="J387" s="3">
        <f t="shared" ref="J387:J450" si="6">H387*G387</f>
        <v>3213</v>
      </c>
      <c r="K387" t="s">
        <v>593</v>
      </c>
    </row>
    <row r="388" spans="1:11" x14ac:dyDescent="0.3">
      <c r="A388" s="4" t="s">
        <v>395</v>
      </c>
      <c r="B388" s="5">
        <v>45111</v>
      </c>
      <c r="C388" s="9" t="s">
        <v>509</v>
      </c>
      <c r="D388" s="4" t="s">
        <v>516</v>
      </c>
      <c r="E388" s="4" t="s">
        <v>543</v>
      </c>
      <c r="F388" s="4" t="s">
        <v>584</v>
      </c>
      <c r="G388" s="9">
        <v>158</v>
      </c>
      <c r="H388" s="4">
        <v>5</v>
      </c>
      <c r="I388" s="9">
        <v>13</v>
      </c>
      <c r="J388" s="3">
        <f t="shared" si="6"/>
        <v>790</v>
      </c>
      <c r="K388" t="s">
        <v>596</v>
      </c>
    </row>
    <row r="389" spans="1:11" x14ac:dyDescent="0.3">
      <c r="A389" s="4" t="s">
        <v>396</v>
      </c>
      <c r="B389" s="5">
        <v>45272</v>
      </c>
      <c r="C389" s="9" t="s">
        <v>511</v>
      </c>
      <c r="D389" s="4" t="s">
        <v>529</v>
      </c>
      <c r="E389" s="4" t="s">
        <v>574</v>
      </c>
      <c r="F389" s="4" t="s">
        <v>586</v>
      </c>
      <c r="G389" s="9">
        <v>1459</v>
      </c>
      <c r="H389" s="4">
        <v>2</v>
      </c>
      <c r="I389" s="9">
        <v>289</v>
      </c>
      <c r="J389" s="3">
        <f t="shared" si="6"/>
        <v>2918</v>
      </c>
      <c r="K389" t="s">
        <v>594</v>
      </c>
    </row>
    <row r="390" spans="1:11" x14ac:dyDescent="0.3">
      <c r="A390" s="4" t="s">
        <v>397</v>
      </c>
      <c r="B390" s="5">
        <v>44950</v>
      </c>
      <c r="C390" s="9" t="s">
        <v>509</v>
      </c>
      <c r="D390" s="4" t="s">
        <v>513</v>
      </c>
      <c r="E390" s="4" t="s">
        <v>533</v>
      </c>
      <c r="F390" s="4" t="s">
        <v>586</v>
      </c>
      <c r="G390" s="9">
        <v>969</v>
      </c>
      <c r="H390" s="4">
        <v>4</v>
      </c>
      <c r="I390" s="9">
        <v>227</v>
      </c>
      <c r="J390" s="3">
        <f t="shared" si="6"/>
        <v>3876</v>
      </c>
      <c r="K390" t="s">
        <v>589</v>
      </c>
    </row>
    <row r="391" spans="1:11" x14ac:dyDescent="0.3">
      <c r="A391" s="4" t="s">
        <v>398</v>
      </c>
      <c r="B391" s="5">
        <v>45091</v>
      </c>
      <c r="C391" s="9" t="s">
        <v>511</v>
      </c>
      <c r="D391" s="4" t="s">
        <v>524</v>
      </c>
      <c r="E391" s="4" t="s">
        <v>546</v>
      </c>
      <c r="F391" s="4" t="s">
        <v>584</v>
      </c>
      <c r="G391" s="9">
        <v>534</v>
      </c>
      <c r="H391" s="4">
        <v>3</v>
      </c>
      <c r="I391" s="9">
        <v>55</v>
      </c>
      <c r="J391" s="3">
        <f t="shared" si="6"/>
        <v>1602</v>
      </c>
      <c r="K391" t="s">
        <v>595</v>
      </c>
    </row>
    <row r="392" spans="1:11" x14ac:dyDescent="0.3">
      <c r="A392" s="4" t="s">
        <v>399</v>
      </c>
      <c r="B392" s="5">
        <v>45184</v>
      </c>
      <c r="C392" s="9" t="s">
        <v>509</v>
      </c>
      <c r="D392" s="4" t="s">
        <v>514</v>
      </c>
      <c r="E392" s="4" t="s">
        <v>577</v>
      </c>
      <c r="F392" s="4" t="s">
        <v>583</v>
      </c>
      <c r="G392" s="9">
        <v>1362</v>
      </c>
      <c r="H392" s="4">
        <v>1</v>
      </c>
      <c r="I392" s="9">
        <v>117</v>
      </c>
      <c r="J392" s="3">
        <f t="shared" si="6"/>
        <v>1362</v>
      </c>
      <c r="K392" t="s">
        <v>599</v>
      </c>
    </row>
    <row r="393" spans="1:11" x14ac:dyDescent="0.3">
      <c r="A393" s="4" t="s">
        <v>400</v>
      </c>
      <c r="B393" s="5">
        <v>45071</v>
      </c>
      <c r="C393" s="9" t="s">
        <v>509</v>
      </c>
      <c r="D393" s="4" t="s">
        <v>516</v>
      </c>
      <c r="E393" s="4" t="s">
        <v>568</v>
      </c>
      <c r="F393" s="4" t="s">
        <v>586</v>
      </c>
      <c r="G393" s="9">
        <v>1558</v>
      </c>
      <c r="H393" s="4">
        <v>3</v>
      </c>
      <c r="I393" s="9">
        <v>179</v>
      </c>
      <c r="J393" s="3">
        <f t="shared" si="6"/>
        <v>4674</v>
      </c>
      <c r="K393" t="s">
        <v>593</v>
      </c>
    </row>
    <row r="394" spans="1:11" x14ac:dyDescent="0.3">
      <c r="A394" s="4" t="s">
        <v>401</v>
      </c>
      <c r="B394" s="5">
        <v>45076</v>
      </c>
      <c r="C394" s="9" t="s">
        <v>512</v>
      </c>
      <c r="D394" s="4" t="s">
        <v>522</v>
      </c>
      <c r="E394" s="4" t="s">
        <v>550</v>
      </c>
      <c r="F394" s="4" t="s">
        <v>583</v>
      </c>
      <c r="G394" s="9">
        <v>1149</v>
      </c>
      <c r="H394" s="4">
        <v>3</v>
      </c>
      <c r="I394" s="9">
        <v>227</v>
      </c>
      <c r="J394" s="3">
        <f t="shared" si="6"/>
        <v>3447</v>
      </c>
      <c r="K394" t="s">
        <v>593</v>
      </c>
    </row>
    <row r="395" spans="1:11" x14ac:dyDescent="0.3">
      <c r="A395" s="4" t="s">
        <v>402</v>
      </c>
      <c r="B395" s="5">
        <v>45179</v>
      </c>
      <c r="C395" s="9" t="s">
        <v>511</v>
      </c>
      <c r="D395" s="4" t="s">
        <v>531</v>
      </c>
      <c r="E395" s="4" t="s">
        <v>539</v>
      </c>
      <c r="F395" s="4" t="s">
        <v>583</v>
      </c>
      <c r="G395" s="9">
        <v>1995</v>
      </c>
      <c r="H395" s="4">
        <v>2</v>
      </c>
      <c r="I395" s="9">
        <v>392</v>
      </c>
      <c r="J395" s="3">
        <f t="shared" si="6"/>
        <v>3990</v>
      </c>
      <c r="K395" t="s">
        <v>599</v>
      </c>
    </row>
    <row r="396" spans="1:11" x14ac:dyDescent="0.3">
      <c r="A396" s="4" t="s">
        <v>403</v>
      </c>
      <c r="B396" s="5">
        <v>44939</v>
      </c>
      <c r="C396" s="9" t="s">
        <v>511</v>
      </c>
      <c r="D396" s="4" t="s">
        <v>520</v>
      </c>
      <c r="E396" s="4" t="s">
        <v>548</v>
      </c>
      <c r="F396" s="4" t="s">
        <v>586</v>
      </c>
      <c r="G396" s="9">
        <v>504</v>
      </c>
      <c r="H396" s="4">
        <v>3</v>
      </c>
      <c r="I396" s="9">
        <v>89</v>
      </c>
      <c r="J396" s="3">
        <f t="shared" si="6"/>
        <v>1512</v>
      </c>
      <c r="K396" t="s">
        <v>589</v>
      </c>
    </row>
    <row r="397" spans="1:11" x14ac:dyDescent="0.3">
      <c r="A397" s="4" t="s">
        <v>404</v>
      </c>
      <c r="B397" s="5">
        <v>45263</v>
      </c>
      <c r="C397" s="9" t="s">
        <v>509</v>
      </c>
      <c r="D397" s="4" t="s">
        <v>526</v>
      </c>
      <c r="E397" s="4" t="s">
        <v>559</v>
      </c>
      <c r="F397" s="4" t="s">
        <v>586</v>
      </c>
      <c r="G397" s="9">
        <v>783</v>
      </c>
      <c r="H397" s="4">
        <v>3</v>
      </c>
      <c r="I397" s="9">
        <v>55</v>
      </c>
      <c r="J397" s="3">
        <f t="shared" si="6"/>
        <v>2349</v>
      </c>
      <c r="K397" t="s">
        <v>594</v>
      </c>
    </row>
    <row r="398" spans="1:11" x14ac:dyDescent="0.3">
      <c r="A398" s="4" t="s">
        <v>405</v>
      </c>
      <c r="B398" s="5">
        <v>44999</v>
      </c>
      <c r="C398" s="9" t="s">
        <v>511</v>
      </c>
      <c r="D398" s="4" t="s">
        <v>531</v>
      </c>
      <c r="E398" s="4" t="s">
        <v>555</v>
      </c>
      <c r="F398" s="4" t="s">
        <v>584</v>
      </c>
      <c r="G398" s="9">
        <v>1437</v>
      </c>
      <c r="H398" s="4">
        <v>1</v>
      </c>
      <c r="I398" s="9">
        <v>84</v>
      </c>
      <c r="J398" s="3">
        <f t="shared" si="6"/>
        <v>1437</v>
      </c>
      <c r="K398" t="s">
        <v>598</v>
      </c>
    </row>
    <row r="399" spans="1:11" x14ac:dyDescent="0.3">
      <c r="A399" s="4" t="s">
        <v>406</v>
      </c>
      <c r="B399" s="5">
        <v>45117</v>
      </c>
      <c r="C399" s="9" t="s">
        <v>511</v>
      </c>
      <c r="D399" s="4" t="s">
        <v>527</v>
      </c>
      <c r="E399" s="4" t="s">
        <v>536</v>
      </c>
      <c r="F399" s="4" t="s">
        <v>584</v>
      </c>
      <c r="G399" s="9">
        <v>943</v>
      </c>
      <c r="H399" s="4">
        <v>1</v>
      </c>
      <c r="I399" s="9">
        <v>156</v>
      </c>
      <c r="J399" s="3">
        <f t="shared" si="6"/>
        <v>943</v>
      </c>
      <c r="K399" t="s">
        <v>596</v>
      </c>
    </row>
    <row r="400" spans="1:11" x14ac:dyDescent="0.3">
      <c r="A400" s="4" t="s">
        <v>407</v>
      </c>
      <c r="B400" s="5">
        <v>45217</v>
      </c>
      <c r="C400" s="9" t="s">
        <v>511</v>
      </c>
      <c r="D400" s="4" t="s">
        <v>531</v>
      </c>
      <c r="E400" s="4" t="s">
        <v>539</v>
      </c>
      <c r="F400" s="4" t="s">
        <v>586</v>
      </c>
      <c r="G400" s="9">
        <v>171</v>
      </c>
      <c r="H400" s="4">
        <v>2</v>
      </c>
      <c r="I400" s="9">
        <v>16</v>
      </c>
      <c r="J400" s="3">
        <f t="shared" si="6"/>
        <v>342</v>
      </c>
      <c r="K400" t="s">
        <v>597</v>
      </c>
    </row>
    <row r="401" spans="1:11" x14ac:dyDescent="0.3">
      <c r="A401" s="4" t="s">
        <v>408</v>
      </c>
      <c r="B401" s="5">
        <v>45094</v>
      </c>
      <c r="C401" s="9" t="s">
        <v>510</v>
      </c>
      <c r="D401" s="4" t="s">
        <v>528</v>
      </c>
      <c r="E401" s="4" t="s">
        <v>536</v>
      </c>
      <c r="F401" s="4" t="s">
        <v>584</v>
      </c>
      <c r="G401" s="9">
        <v>670</v>
      </c>
      <c r="H401" s="4">
        <v>3</v>
      </c>
      <c r="I401" s="9">
        <v>64</v>
      </c>
      <c r="J401" s="3">
        <f t="shared" si="6"/>
        <v>2010</v>
      </c>
      <c r="K401" t="s">
        <v>595</v>
      </c>
    </row>
    <row r="402" spans="1:11" x14ac:dyDescent="0.3">
      <c r="A402" s="4" t="s">
        <v>409</v>
      </c>
      <c r="B402" s="5">
        <v>44981</v>
      </c>
      <c r="C402" s="9" t="s">
        <v>511</v>
      </c>
      <c r="D402" s="4" t="s">
        <v>520</v>
      </c>
      <c r="E402" s="4" t="s">
        <v>540</v>
      </c>
      <c r="F402" s="4" t="s">
        <v>586</v>
      </c>
      <c r="G402" s="9">
        <v>370</v>
      </c>
      <c r="H402" s="4">
        <v>4</v>
      </c>
      <c r="I402" s="9">
        <v>41</v>
      </c>
      <c r="J402" s="3">
        <f t="shared" si="6"/>
        <v>1480</v>
      </c>
      <c r="K402" t="s">
        <v>592</v>
      </c>
    </row>
    <row r="403" spans="1:11" x14ac:dyDescent="0.3">
      <c r="A403" s="4" t="s">
        <v>410</v>
      </c>
      <c r="B403" s="5">
        <v>45033</v>
      </c>
      <c r="C403" s="9" t="s">
        <v>509</v>
      </c>
      <c r="D403" s="4" t="s">
        <v>514</v>
      </c>
      <c r="E403" s="4" t="s">
        <v>542</v>
      </c>
      <c r="F403" s="4" t="s">
        <v>583</v>
      </c>
      <c r="G403" s="9">
        <v>931</v>
      </c>
      <c r="H403" s="4">
        <v>4</v>
      </c>
      <c r="I403" s="9">
        <v>95</v>
      </c>
      <c r="J403" s="3">
        <f t="shared" si="6"/>
        <v>3724</v>
      </c>
      <c r="K403" t="s">
        <v>588</v>
      </c>
    </row>
    <row r="404" spans="1:11" x14ac:dyDescent="0.3">
      <c r="A404" s="4" t="s">
        <v>411</v>
      </c>
      <c r="B404" s="5">
        <v>45082</v>
      </c>
      <c r="C404" s="9" t="s">
        <v>509</v>
      </c>
      <c r="D404" s="4" t="s">
        <v>513</v>
      </c>
      <c r="E404" s="4" t="s">
        <v>549</v>
      </c>
      <c r="F404" s="4" t="s">
        <v>585</v>
      </c>
      <c r="G404" s="9">
        <v>1661</v>
      </c>
      <c r="H404" s="4">
        <v>5</v>
      </c>
      <c r="I404" s="9">
        <v>96</v>
      </c>
      <c r="J404" s="3">
        <f t="shared" si="6"/>
        <v>8305</v>
      </c>
      <c r="K404" t="s">
        <v>595</v>
      </c>
    </row>
    <row r="405" spans="1:11" x14ac:dyDescent="0.3">
      <c r="A405" s="4" t="s">
        <v>412</v>
      </c>
      <c r="B405" s="5">
        <v>45054</v>
      </c>
      <c r="C405" s="9" t="s">
        <v>510</v>
      </c>
      <c r="D405" s="4" t="s">
        <v>519</v>
      </c>
      <c r="E405" s="4" t="s">
        <v>535</v>
      </c>
      <c r="F405" s="4" t="s">
        <v>586</v>
      </c>
      <c r="G405" s="9">
        <v>1938</v>
      </c>
      <c r="H405" s="4">
        <v>4</v>
      </c>
      <c r="I405" s="9">
        <v>295</v>
      </c>
      <c r="J405" s="3">
        <f t="shared" si="6"/>
        <v>7752</v>
      </c>
      <c r="K405" t="s">
        <v>593</v>
      </c>
    </row>
    <row r="406" spans="1:11" x14ac:dyDescent="0.3">
      <c r="A406" s="4" t="s">
        <v>413</v>
      </c>
      <c r="B406" s="5">
        <v>45134</v>
      </c>
      <c r="C406" s="9" t="s">
        <v>510</v>
      </c>
      <c r="D406" s="4" t="s">
        <v>528</v>
      </c>
      <c r="E406" s="4" t="s">
        <v>582</v>
      </c>
      <c r="F406" s="4" t="s">
        <v>585</v>
      </c>
      <c r="G406" s="9">
        <v>1716</v>
      </c>
      <c r="H406" s="4">
        <v>5</v>
      </c>
      <c r="I406" s="9">
        <v>342</v>
      </c>
      <c r="J406" s="3">
        <f t="shared" si="6"/>
        <v>8580</v>
      </c>
      <c r="K406" t="s">
        <v>596</v>
      </c>
    </row>
    <row r="407" spans="1:11" x14ac:dyDescent="0.3">
      <c r="A407" s="4" t="s">
        <v>414</v>
      </c>
      <c r="B407" s="5">
        <v>44998</v>
      </c>
      <c r="C407" s="9" t="s">
        <v>511</v>
      </c>
      <c r="D407" s="4" t="s">
        <v>524</v>
      </c>
      <c r="E407" s="4" t="s">
        <v>578</v>
      </c>
      <c r="F407" s="4" t="s">
        <v>584</v>
      </c>
      <c r="G407" s="9">
        <v>286</v>
      </c>
      <c r="H407" s="4">
        <v>1</v>
      </c>
      <c r="I407" s="9">
        <v>61</v>
      </c>
      <c r="J407" s="3">
        <f t="shared" si="6"/>
        <v>286</v>
      </c>
      <c r="K407" t="s">
        <v>598</v>
      </c>
    </row>
    <row r="408" spans="1:11" x14ac:dyDescent="0.3">
      <c r="A408" s="4" t="s">
        <v>415</v>
      </c>
      <c r="B408" s="5">
        <v>45117</v>
      </c>
      <c r="C408" s="9" t="s">
        <v>511</v>
      </c>
      <c r="D408" s="4" t="s">
        <v>520</v>
      </c>
      <c r="E408" s="4" t="s">
        <v>538</v>
      </c>
      <c r="F408" s="4" t="s">
        <v>585</v>
      </c>
      <c r="G408" s="9">
        <v>1388</v>
      </c>
      <c r="H408" s="4">
        <v>1</v>
      </c>
      <c r="I408" s="9">
        <v>231</v>
      </c>
      <c r="J408" s="3">
        <f t="shared" si="6"/>
        <v>1388</v>
      </c>
      <c r="K408" t="s">
        <v>596</v>
      </c>
    </row>
    <row r="409" spans="1:11" x14ac:dyDescent="0.3">
      <c r="A409" s="4" t="s">
        <v>416</v>
      </c>
      <c r="B409" s="5">
        <v>45028</v>
      </c>
      <c r="C409" s="9" t="s">
        <v>510</v>
      </c>
      <c r="D409" s="4" t="s">
        <v>515</v>
      </c>
      <c r="E409" s="4" t="s">
        <v>551</v>
      </c>
      <c r="F409" s="4" t="s">
        <v>586</v>
      </c>
      <c r="G409" s="9">
        <v>1809</v>
      </c>
      <c r="H409" s="4">
        <v>4</v>
      </c>
      <c r="I409" s="9">
        <v>383</v>
      </c>
      <c r="J409" s="3">
        <f t="shared" si="6"/>
        <v>7236</v>
      </c>
      <c r="K409" t="s">
        <v>588</v>
      </c>
    </row>
    <row r="410" spans="1:11" x14ac:dyDescent="0.3">
      <c r="A410" s="4" t="s">
        <v>417</v>
      </c>
      <c r="B410" s="5">
        <v>45163</v>
      </c>
      <c r="C410" s="9" t="s">
        <v>509</v>
      </c>
      <c r="D410" s="4" t="s">
        <v>526</v>
      </c>
      <c r="E410" s="4" t="s">
        <v>534</v>
      </c>
      <c r="F410" s="4" t="s">
        <v>586</v>
      </c>
      <c r="G410" s="9">
        <v>148</v>
      </c>
      <c r="H410" s="4">
        <v>5</v>
      </c>
      <c r="I410" s="9">
        <v>20</v>
      </c>
      <c r="J410" s="3">
        <f t="shared" si="6"/>
        <v>740</v>
      </c>
      <c r="K410" t="s">
        <v>591</v>
      </c>
    </row>
    <row r="411" spans="1:11" x14ac:dyDescent="0.3">
      <c r="A411" s="4" t="s">
        <v>418</v>
      </c>
      <c r="B411" s="5">
        <v>45276</v>
      </c>
      <c r="C411" s="9" t="s">
        <v>512</v>
      </c>
      <c r="D411" s="4" t="s">
        <v>521</v>
      </c>
      <c r="E411" s="4" t="s">
        <v>537</v>
      </c>
      <c r="F411" s="4" t="s">
        <v>586</v>
      </c>
      <c r="G411" s="9">
        <v>881</v>
      </c>
      <c r="H411" s="4">
        <v>3</v>
      </c>
      <c r="I411" s="9">
        <v>81</v>
      </c>
      <c r="J411" s="3">
        <f t="shared" si="6"/>
        <v>2643</v>
      </c>
      <c r="K411" t="s">
        <v>594</v>
      </c>
    </row>
    <row r="412" spans="1:11" x14ac:dyDescent="0.3">
      <c r="A412" s="4" t="s">
        <v>419</v>
      </c>
      <c r="B412" s="5">
        <v>45003</v>
      </c>
      <c r="C412" s="9" t="s">
        <v>511</v>
      </c>
      <c r="D412" s="4" t="s">
        <v>529</v>
      </c>
      <c r="E412" s="4" t="s">
        <v>576</v>
      </c>
      <c r="F412" s="4" t="s">
        <v>583</v>
      </c>
      <c r="G412" s="9">
        <v>117</v>
      </c>
      <c r="H412" s="4">
        <v>5</v>
      </c>
      <c r="I412" s="9">
        <v>20</v>
      </c>
      <c r="J412" s="3">
        <f t="shared" si="6"/>
        <v>585</v>
      </c>
      <c r="K412" t="s">
        <v>598</v>
      </c>
    </row>
    <row r="413" spans="1:11" x14ac:dyDescent="0.3">
      <c r="A413" s="4" t="s">
        <v>420</v>
      </c>
      <c r="B413" s="5">
        <v>45172</v>
      </c>
      <c r="C413" s="9" t="s">
        <v>510</v>
      </c>
      <c r="D413" s="4" t="s">
        <v>525</v>
      </c>
      <c r="E413" s="4" t="s">
        <v>561</v>
      </c>
      <c r="F413" s="4" t="s">
        <v>584</v>
      </c>
      <c r="G413" s="9">
        <v>168</v>
      </c>
      <c r="H413" s="4">
        <v>3</v>
      </c>
      <c r="I413" s="9">
        <v>21</v>
      </c>
      <c r="J413" s="3">
        <f t="shared" si="6"/>
        <v>504</v>
      </c>
      <c r="K413" t="s">
        <v>599</v>
      </c>
    </row>
    <row r="414" spans="1:11" x14ac:dyDescent="0.3">
      <c r="A414" s="4" t="s">
        <v>421</v>
      </c>
      <c r="B414" s="5">
        <v>45205</v>
      </c>
      <c r="C414" s="9" t="s">
        <v>512</v>
      </c>
      <c r="D414" s="4" t="s">
        <v>523</v>
      </c>
      <c r="E414" s="4" t="s">
        <v>569</v>
      </c>
      <c r="F414" s="4" t="s">
        <v>585</v>
      </c>
      <c r="G414" s="9">
        <v>1599</v>
      </c>
      <c r="H414" s="4">
        <v>4</v>
      </c>
      <c r="I414" s="9">
        <v>330</v>
      </c>
      <c r="J414" s="3">
        <f t="shared" si="6"/>
        <v>6396</v>
      </c>
      <c r="K414" t="s">
        <v>597</v>
      </c>
    </row>
    <row r="415" spans="1:11" x14ac:dyDescent="0.3">
      <c r="A415" s="4" t="s">
        <v>422</v>
      </c>
      <c r="B415" s="5">
        <v>45216</v>
      </c>
      <c r="C415" s="9" t="s">
        <v>510</v>
      </c>
      <c r="D415" s="4" t="s">
        <v>525</v>
      </c>
      <c r="E415" s="4" t="s">
        <v>571</v>
      </c>
      <c r="F415" s="4" t="s">
        <v>584</v>
      </c>
      <c r="G415" s="9">
        <v>1029</v>
      </c>
      <c r="H415" s="4">
        <v>4</v>
      </c>
      <c r="I415" s="9">
        <v>107</v>
      </c>
      <c r="J415" s="3">
        <f t="shared" si="6"/>
        <v>4116</v>
      </c>
      <c r="K415" t="s">
        <v>597</v>
      </c>
    </row>
    <row r="416" spans="1:11" x14ac:dyDescent="0.3">
      <c r="A416" s="4" t="s">
        <v>423</v>
      </c>
      <c r="B416" s="5">
        <v>45070</v>
      </c>
      <c r="C416" s="9" t="s">
        <v>509</v>
      </c>
      <c r="D416" s="4" t="s">
        <v>526</v>
      </c>
      <c r="E416" s="4" t="s">
        <v>582</v>
      </c>
      <c r="F416" s="4" t="s">
        <v>585</v>
      </c>
      <c r="G416" s="9">
        <v>164</v>
      </c>
      <c r="H416" s="4">
        <v>4</v>
      </c>
      <c r="I416" s="9">
        <v>25</v>
      </c>
      <c r="J416" s="3">
        <f t="shared" si="6"/>
        <v>656</v>
      </c>
      <c r="K416" t="s">
        <v>593</v>
      </c>
    </row>
    <row r="417" spans="1:11" x14ac:dyDescent="0.3">
      <c r="A417" s="4" t="s">
        <v>424</v>
      </c>
      <c r="B417" s="5">
        <v>45263</v>
      </c>
      <c r="C417" s="9" t="s">
        <v>511</v>
      </c>
      <c r="D417" s="4" t="s">
        <v>520</v>
      </c>
      <c r="E417" s="4" t="s">
        <v>533</v>
      </c>
      <c r="F417" s="4" t="s">
        <v>586</v>
      </c>
      <c r="G417" s="9">
        <v>520</v>
      </c>
      <c r="H417" s="4">
        <v>5</v>
      </c>
      <c r="I417" s="9">
        <v>110</v>
      </c>
      <c r="J417" s="3">
        <f t="shared" si="6"/>
        <v>2600</v>
      </c>
      <c r="K417" t="s">
        <v>594</v>
      </c>
    </row>
    <row r="418" spans="1:11" x14ac:dyDescent="0.3">
      <c r="A418" s="4" t="s">
        <v>425</v>
      </c>
      <c r="B418" s="5">
        <v>45015</v>
      </c>
      <c r="C418" s="9" t="s">
        <v>509</v>
      </c>
      <c r="D418" s="4" t="s">
        <v>518</v>
      </c>
      <c r="E418" s="4" t="s">
        <v>571</v>
      </c>
      <c r="F418" s="4" t="s">
        <v>584</v>
      </c>
      <c r="G418" s="9">
        <v>393</v>
      </c>
      <c r="H418" s="4">
        <v>5</v>
      </c>
      <c r="I418" s="9">
        <v>44</v>
      </c>
      <c r="J418" s="3">
        <f t="shared" si="6"/>
        <v>1965</v>
      </c>
      <c r="K418" t="s">
        <v>598</v>
      </c>
    </row>
    <row r="419" spans="1:11" x14ac:dyDescent="0.3">
      <c r="A419" s="4" t="s">
        <v>426</v>
      </c>
      <c r="B419" s="5">
        <v>45285</v>
      </c>
      <c r="C419" s="9" t="s">
        <v>510</v>
      </c>
      <c r="D419" s="4" t="s">
        <v>517</v>
      </c>
      <c r="E419" s="4" t="s">
        <v>535</v>
      </c>
      <c r="F419" s="4" t="s">
        <v>586</v>
      </c>
      <c r="G419" s="9">
        <v>735</v>
      </c>
      <c r="H419" s="4">
        <v>5</v>
      </c>
      <c r="I419" s="9">
        <v>119</v>
      </c>
      <c r="J419" s="3">
        <f t="shared" si="6"/>
        <v>3675</v>
      </c>
      <c r="K419" t="s">
        <v>594</v>
      </c>
    </row>
    <row r="420" spans="1:11" x14ac:dyDescent="0.3">
      <c r="A420" s="4" t="s">
        <v>427</v>
      </c>
      <c r="B420" s="5">
        <v>45178</v>
      </c>
      <c r="C420" s="9" t="s">
        <v>511</v>
      </c>
      <c r="D420" s="4" t="s">
        <v>531</v>
      </c>
      <c r="E420" s="4" t="s">
        <v>567</v>
      </c>
      <c r="F420" s="4" t="s">
        <v>583</v>
      </c>
      <c r="G420" s="9">
        <v>124</v>
      </c>
      <c r="H420" s="4">
        <v>1</v>
      </c>
      <c r="I420" s="9">
        <v>11</v>
      </c>
      <c r="J420" s="3">
        <f t="shared" si="6"/>
        <v>124</v>
      </c>
      <c r="K420" t="s">
        <v>599</v>
      </c>
    </row>
    <row r="421" spans="1:11" x14ac:dyDescent="0.3">
      <c r="A421" s="4" t="s">
        <v>428</v>
      </c>
      <c r="B421" s="5">
        <v>45096</v>
      </c>
      <c r="C421" s="9" t="s">
        <v>511</v>
      </c>
      <c r="D421" s="4" t="s">
        <v>524</v>
      </c>
      <c r="E421" s="4" t="s">
        <v>553</v>
      </c>
      <c r="F421" s="4" t="s">
        <v>584</v>
      </c>
      <c r="G421" s="9">
        <v>1839</v>
      </c>
      <c r="H421" s="4">
        <v>2</v>
      </c>
      <c r="I421" s="9">
        <v>388</v>
      </c>
      <c r="J421" s="3">
        <f t="shared" si="6"/>
        <v>3678</v>
      </c>
      <c r="K421" t="s">
        <v>595</v>
      </c>
    </row>
    <row r="422" spans="1:11" x14ac:dyDescent="0.3">
      <c r="A422" s="4" t="s">
        <v>429</v>
      </c>
      <c r="B422" s="5">
        <v>44938</v>
      </c>
      <c r="C422" s="9" t="s">
        <v>510</v>
      </c>
      <c r="D422" s="4" t="s">
        <v>519</v>
      </c>
      <c r="E422" s="4" t="s">
        <v>555</v>
      </c>
      <c r="F422" s="4" t="s">
        <v>583</v>
      </c>
      <c r="G422" s="9">
        <v>338</v>
      </c>
      <c r="H422" s="4">
        <v>2</v>
      </c>
      <c r="I422" s="9">
        <v>69</v>
      </c>
      <c r="J422" s="3">
        <f t="shared" si="6"/>
        <v>676</v>
      </c>
      <c r="K422" t="s">
        <v>589</v>
      </c>
    </row>
    <row r="423" spans="1:11" x14ac:dyDescent="0.3">
      <c r="A423" s="4" t="s">
        <v>430</v>
      </c>
      <c r="B423" s="5">
        <v>45266</v>
      </c>
      <c r="C423" s="9" t="s">
        <v>510</v>
      </c>
      <c r="D423" s="4" t="s">
        <v>515</v>
      </c>
      <c r="E423" s="4" t="s">
        <v>535</v>
      </c>
      <c r="F423" s="4" t="s">
        <v>583</v>
      </c>
      <c r="G423" s="9">
        <v>821</v>
      </c>
      <c r="H423" s="4">
        <v>1</v>
      </c>
      <c r="I423" s="9">
        <v>96</v>
      </c>
      <c r="J423" s="3">
        <f t="shared" si="6"/>
        <v>821</v>
      </c>
      <c r="K423" t="s">
        <v>594</v>
      </c>
    </row>
    <row r="424" spans="1:11" x14ac:dyDescent="0.3">
      <c r="A424" s="4" t="s">
        <v>431</v>
      </c>
      <c r="B424" s="5">
        <v>45150</v>
      </c>
      <c r="C424" s="9" t="s">
        <v>510</v>
      </c>
      <c r="D424" s="4" t="s">
        <v>519</v>
      </c>
      <c r="E424" s="4" t="s">
        <v>575</v>
      </c>
      <c r="F424" s="4" t="s">
        <v>585</v>
      </c>
      <c r="G424" s="9">
        <v>1594</v>
      </c>
      <c r="H424" s="4">
        <v>4</v>
      </c>
      <c r="I424" s="9">
        <v>286</v>
      </c>
      <c r="J424" s="3">
        <f t="shared" si="6"/>
        <v>6376</v>
      </c>
      <c r="K424" t="s">
        <v>591</v>
      </c>
    </row>
    <row r="425" spans="1:11" x14ac:dyDescent="0.3">
      <c r="A425" s="4" t="s">
        <v>432</v>
      </c>
      <c r="B425" s="5">
        <v>45267</v>
      </c>
      <c r="C425" s="9" t="s">
        <v>511</v>
      </c>
      <c r="D425" s="4" t="s">
        <v>527</v>
      </c>
      <c r="E425" s="4" t="s">
        <v>546</v>
      </c>
      <c r="F425" s="4" t="s">
        <v>583</v>
      </c>
      <c r="G425" s="9">
        <v>1198</v>
      </c>
      <c r="H425" s="4">
        <v>2</v>
      </c>
      <c r="I425" s="9">
        <v>150</v>
      </c>
      <c r="J425" s="3">
        <f t="shared" si="6"/>
        <v>2396</v>
      </c>
      <c r="K425" t="s">
        <v>594</v>
      </c>
    </row>
    <row r="426" spans="1:11" x14ac:dyDescent="0.3">
      <c r="A426" s="4" t="s">
        <v>433</v>
      </c>
      <c r="B426" s="5">
        <v>44927</v>
      </c>
      <c r="C426" s="9" t="s">
        <v>510</v>
      </c>
      <c r="D426" s="4" t="s">
        <v>519</v>
      </c>
      <c r="E426" s="4" t="s">
        <v>575</v>
      </c>
      <c r="F426" s="4" t="s">
        <v>585</v>
      </c>
      <c r="G426" s="9">
        <v>1900</v>
      </c>
      <c r="H426" s="4">
        <v>5</v>
      </c>
      <c r="I426" s="9">
        <v>243</v>
      </c>
      <c r="J426" s="3">
        <f t="shared" si="6"/>
        <v>9500</v>
      </c>
      <c r="K426" t="s">
        <v>589</v>
      </c>
    </row>
    <row r="427" spans="1:11" x14ac:dyDescent="0.3">
      <c r="A427" s="4" t="s">
        <v>434</v>
      </c>
      <c r="B427" s="5">
        <v>45040</v>
      </c>
      <c r="C427" s="9" t="s">
        <v>509</v>
      </c>
      <c r="D427" s="4" t="s">
        <v>518</v>
      </c>
      <c r="E427" s="4" t="s">
        <v>557</v>
      </c>
      <c r="F427" s="4" t="s">
        <v>583</v>
      </c>
      <c r="G427" s="9">
        <v>1297</v>
      </c>
      <c r="H427" s="4">
        <v>1</v>
      </c>
      <c r="I427" s="9">
        <v>307</v>
      </c>
      <c r="J427" s="3">
        <f t="shared" si="6"/>
        <v>1297</v>
      </c>
      <c r="K427" t="s">
        <v>588</v>
      </c>
    </row>
    <row r="428" spans="1:11" x14ac:dyDescent="0.3">
      <c r="A428" s="4" t="s">
        <v>435</v>
      </c>
      <c r="B428" s="5">
        <v>45104</v>
      </c>
      <c r="C428" s="9" t="s">
        <v>511</v>
      </c>
      <c r="D428" s="4" t="s">
        <v>529</v>
      </c>
      <c r="E428" s="4" t="s">
        <v>533</v>
      </c>
      <c r="F428" s="4" t="s">
        <v>586</v>
      </c>
      <c r="G428" s="9">
        <v>1965</v>
      </c>
      <c r="H428" s="4">
        <v>2</v>
      </c>
      <c r="I428" s="9">
        <v>348</v>
      </c>
      <c r="J428" s="3">
        <f t="shared" si="6"/>
        <v>3930</v>
      </c>
      <c r="K428" t="s">
        <v>595</v>
      </c>
    </row>
    <row r="429" spans="1:11" x14ac:dyDescent="0.3">
      <c r="A429" s="4" t="s">
        <v>436</v>
      </c>
      <c r="B429" s="5">
        <v>45062</v>
      </c>
      <c r="C429" s="9" t="s">
        <v>509</v>
      </c>
      <c r="D429" s="4" t="s">
        <v>526</v>
      </c>
      <c r="E429" s="4" t="s">
        <v>553</v>
      </c>
      <c r="F429" s="4" t="s">
        <v>584</v>
      </c>
      <c r="G429" s="9">
        <v>458</v>
      </c>
      <c r="H429" s="4">
        <v>1</v>
      </c>
      <c r="I429" s="9">
        <v>55</v>
      </c>
      <c r="J429" s="3">
        <f t="shared" si="6"/>
        <v>458</v>
      </c>
      <c r="K429" t="s">
        <v>593</v>
      </c>
    </row>
    <row r="430" spans="1:11" x14ac:dyDescent="0.3">
      <c r="A430" s="4" t="s">
        <v>437</v>
      </c>
      <c r="B430" s="5">
        <v>45151</v>
      </c>
      <c r="C430" s="9" t="s">
        <v>509</v>
      </c>
      <c r="D430" s="4" t="s">
        <v>513</v>
      </c>
      <c r="E430" s="4" t="s">
        <v>537</v>
      </c>
      <c r="F430" s="4" t="s">
        <v>586</v>
      </c>
      <c r="G430" s="9">
        <v>1478</v>
      </c>
      <c r="H430" s="4">
        <v>2</v>
      </c>
      <c r="I430" s="9">
        <v>335</v>
      </c>
      <c r="J430" s="3">
        <f t="shared" si="6"/>
        <v>2956</v>
      </c>
      <c r="K430" t="s">
        <v>591</v>
      </c>
    </row>
    <row r="431" spans="1:11" x14ac:dyDescent="0.3">
      <c r="A431" s="4" t="s">
        <v>438</v>
      </c>
      <c r="B431" s="5">
        <v>45119</v>
      </c>
      <c r="C431" s="9" t="s">
        <v>512</v>
      </c>
      <c r="D431" s="4" t="s">
        <v>521</v>
      </c>
      <c r="E431" s="4" t="s">
        <v>581</v>
      </c>
      <c r="F431" s="4" t="s">
        <v>583</v>
      </c>
      <c r="G431" s="9">
        <v>247</v>
      </c>
      <c r="H431" s="4">
        <v>4</v>
      </c>
      <c r="I431" s="9">
        <v>51</v>
      </c>
      <c r="J431" s="3">
        <f t="shared" si="6"/>
        <v>988</v>
      </c>
      <c r="K431" t="s">
        <v>596</v>
      </c>
    </row>
    <row r="432" spans="1:11" x14ac:dyDescent="0.3">
      <c r="A432" s="4" t="s">
        <v>439</v>
      </c>
      <c r="B432" s="5">
        <v>44944</v>
      </c>
      <c r="C432" s="9" t="s">
        <v>511</v>
      </c>
      <c r="D432" s="4" t="s">
        <v>520</v>
      </c>
      <c r="E432" s="4" t="s">
        <v>551</v>
      </c>
      <c r="F432" s="4" t="s">
        <v>584</v>
      </c>
      <c r="G432" s="9">
        <v>625</v>
      </c>
      <c r="H432" s="4">
        <v>3</v>
      </c>
      <c r="I432" s="9">
        <v>63</v>
      </c>
      <c r="J432" s="3">
        <f t="shared" si="6"/>
        <v>1875</v>
      </c>
      <c r="K432" t="s">
        <v>589</v>
      </c>
    </row>
    <row r="433" spans="1:11" x14ac:dyDescent="0.3">
      <c r="A433" s="4" t="s">
        <v>440</v>
      </c>
      <c r="B433" s="5">
        <v>45119</v>
      </c>
      <c r="C433" s="9" t="s">
        <v>509</v>
      </c>
      <c r="D433" s="4" t="s">
        <v>513</v>
      </c>
      <c r="E433" s="4" t="s">
        <v>552</v>
      </c>
      <c r="F433" s="4" t="s">
        <v>583</v>
      </c>
      <c r="G433" s="9">
        <v>363</v>
      </c>
      <c r="H433" s="4">
        <v>1</v>
      </c>
      <c r="I433" s="9">
        <v>57</v>
      </c>
      <c r="J433" s="3">
        <f t="shared" si="6"/>
        <v>363</v>
      </c>
      <c r="K433" t="s">
        <v>596</v>
      </c>
    </row>
    <row r="434" spans="1:11" x14ac:dyDescent="0.3">
      <c r="A434" s="4" t="s">
        <v>441</v>
      </c>
      <c r="B434" s="5">
        <v>44942</v>
      </c>
      <c r="C434" s="9" t="s">
        <v>509</v>
      </c>
      <c r="D434" s="4" t="s">
        <v>526</v>
      </c>
      <c r="E434" s="4" t="s">
        <v>535</v>
      </c>
      <c r="F434" s="4" t="s">
        <v>584</v>
      </c>
      <c r="G434" s="9">
        <v>891</v>
      </c>
      <c r="H434" s="4">
        <v>2</v>
      </c>
      <c r="I434" s="9">
        <v>152</v>
      </c>
      <c r="J434" s="3">
        <f t="shared" si="6"/>
        <v>1782</v>
      </c>
      <c r="K434" t="s">
        <v>589</v>
      </c>
    </row>
    <row r="435" spans="1:11" x14ac:dyDescent="0.3">
      <c r="A435" s="4" t="s">
        <v>442</v>
      </c>
      <c r="B435" s="5">
        <v>45096</v>
      </c>
      <c r="C435" s="9" t="s">
        <v>512</v>
      </c>
      <c r="D435" s="4" t="s">
        <v>523</v>
      </c>
      <c r="E435" s="4" t="s">
        <v>578</v>
      </c>
      <c r="F435" s="4" t="s">
        <v>586</v>
      </c>
      <c r="G435" s="9">
        <v>450</v>
      </c>
      <c r="H435" s="4">
        <v>2</v>
      </c>
      <c r="I435" s="9">
        <v>59</v>
      </c>
      <c r="J435" s="3">
        <f t="shared" si="6"/>
        <v>900</v>
      </c>
      <c r="K435" t="s">
        <v>595</v>
      </c>
    </row>
    <row r="436" spans="1:11" x14ac:dyDescent="0.3">
      <c r="A436" s="4" t="s">
        <v>443</v>
      </c>
      <c r="B436" s="5">
        <v>44976</v>
      </c>
      <c r="C436" s="9" t="s">
        <v>510</v>
      </c>
      <c r="D436" s="4" t="s">
        <v>528</v>
      </c>
      <c r="E436" s="4" t="s">
        <v>533</v>
      </c>
      <c r="F436" s="4" t="s">
        <v>583</v>
      </c>
      <c r="G436" s="9">
        <v>146</v>
      </c>
      <c r="H436" s="4">
        <v>5</v>
      </c>
      <c r="I436" s="9">
        <v>23</v>
      </c>
      <c r="J436" s="3">
        <f t="shared" si="6"/>
        <v>730</v>
      </c>
      <c r="K436" t="s">
        <v>592</v>
      </c>
    </row>
    <row r="437" spans="1:11" x14ac:dyDescent="0.3">
      <c r="A437" s="4" t="s">
        <v>444</v>
      </c>
      <c r="B437" s="5">
        <v>44928</v>
      </c>
      <c r="C437" s="9" t="s">
        <v>512</v>
      </c>
      <c r="D437" s="4" t="s">
        <v>523</v>
      </c>
      <c r="E437" s="4" t="s">
        <v>564</v>
      </c>
      <c r="F437" s="4" t="s">
        <v>586</v>
      </c>
      <c r="G437" s="9">
        <v>883</v>
      </c>
      <c r="H437" s="4">
        <v>3</v>
      </c>
      <c r="I437" s="9">
        <v>189</v>
      </c>
      <c r="J437" s="3">
        <f t="shared" si="6"/>
        <v>2649</v>
      </c>
      <c r="K437" t="s">
        <v>589</v>
      </c>
    </row>
    <row r="438" spans="1:11" x14ac:dyDescent="0.3">
      <c r="A438" s="4" t="s">
        <v>445</v>
      </c>
      <c r="B438" s="5">
        <v>45032</v>
      </c>
      <c r="C438" s="9" t="s">
        <v>512</v>
      </c>
      <c r="D438" s="4" t="s">
        <v>523</v>
      </c>
      <c r="E438" s="4" t="s">
        <v>582</v>
      </c>
      <c r="F438" s="4" t="s">
        <v>586</v>
      </c>
      <c r="G438" s="9">
        <v>383</v>
      </c>
      <c r="H438" s="4">
        <v>3</v>
      </c>
      <c r="I438" s="9">
        <v>94</v>
      </c>
      <c r="J438" s="3">
        <f t="shared" si="6"/>
        <v>1149</v>
      </c>
      <c r="K438" t="s">
        <v>588</v>
      </c>
    </row>
    <row r="439" spans="1:11" x14ac:dyDescent="0.3">
      <c r="A439" s="4" t="s">
        <v>446</v>
      </c>
      <c r="B439" s="5">
        <v>45168</v>
      </c>
      <c r="C439" s="9" t="s">
        <v>512</v>
      </c>
      <c r="D439" s="4" t="s">
        <v>522</v>
      </c>
      <c r="E439" s="4" t="s">
        <v>538</v>
      </c>
      <c r="F439" s="4" t="s">
        <v>583</v>
      </c>
      <c r="G439" s="9">
        <v>1003</v>
      </c>
      <c r="H439" s="4">
        <v>3</v>
      </c>
      <c r="I439" s="9">
        <v>68</v>
      </c>
      <c r="J439" s="3">
        <f t="shared" si="6"/>
        <v>3009</v>
      </c>
      <c r="K439" t="s">
        <v>591</v>
      </c>
    </row>
    <row r="440" spans="1:11" x14ac:dyDescent="0.3">
      <c r="A440" s="4" t="s">
        <v>447</v>
      </c>
      <c r="B440" s="5">
        <v>45116</v>
      </c>
      <c r="C440" s="9" t="s">
        <v>512</v>
      </c>
      <c r="D440" s="4" t="s">
        <v>523</v>
      </c>
      <c r="E440" s="4" t="s">
        <v>537</v>
      </c>
      <c r="F440" s="4" t="s">
        <v>583</v>
      </c>
      <c r="G440" s="9">
        <v>413</v>
      </c>
      <c r="H440" s="4">
        <v>1</v>
      </c>
      <c r="I440" s="9">
        <v>42</v>
      </c>
      <c r="J440" s="3">
        <f t="shared" si="6"/>
        <v>413</v>
      </c>
      <c r="K440" t="s">
        <v>596</v>
      </c>
    </row>
    <row r="441" spans="1:11" x14ac:dyDescent="0.3">
      <c r="A441" s="4" t="s">
        <v>448</v>
      </c>
      <c r="B441" s="5">
        <v>45215</v>
      </c>
      <c r="C441" s="9" t="s">
        <v>512</v>
      </c>
      <c r="D441" s="4" t="s">
        <v>532</v>
      </c>
      <c r="E441" s="4" t="s">
        <v>547</v>
      </c>
      <c r="F441" s="4" t="s">
        <v>585</v>
      </c>
      <c r="G441" s="9">
        <v>170</v>
      </c>
      <c r="H441" s="4">
        <v>1</v>
      </c>
      <c r="I441" s="9">
        <v>11</v>
      </c>
      <c r="J441" s="3">
        <f t="shared" si="6"/>
        <v>170</v>
      </c>
      <c r="K441" t="s">
        <v>597</v>
      </c>
    </row>
    <row r="442" spans="1:11" x14ac:dyDescent="0.3">
      <c r="A442" s="4" t="s">
        <v>449</v>
      </c>
      <c r="B442" s="5">
        <v>45228</v>
      </c>
      <c r="C442" s="9" t="s">
        <v>510</v>
      </c>
      <c r="D442" s="4" t="s">
        <v>517</v>
      </c>
      <c r="E442" s="4" t="s">
        <v>559</v>
      </c>
      <c r="F442" s="4" t="s">
        <v>584</v>
      </c>
      <c r="G442" s="9">
        <v>493</v>
      </c>
      <c r="H442" s="4">
        <v>1</v>
      </c>
      <c r="I442" s="9">
        <v>107</v>
      </c>
      <c r="J442" s="3">
        <f t="shared" si="6"/>
        <v>493</v>
      </c>
      <c r="K442" t="s">
        <v>597</v>
      </c>
    </row>
    <row r="443" spans="1:11" x14ac:dyDescent="0.3">
      <c r="A443" s="4" t="s">
        <v>450</v>
      </c>
      <c r="B443" s="5">
        <v>45047</v>
      </c>
      <c r="C443" s="9" t="s">
        <v>512</v>
      </c>
      <c r="D443" s="4" t="s">
        <v>530</v>
      </c>
      <c r="E443" s="4" t="s">
        <v>574</v>
      </c>
      <c r="F443" s="4" t="s">
        <v>584</v>
      </c>
      <c r="G443" s="9">
        <v>978</v>
      </c>
      <c r="H443" s="4">
        <v>1</v>
      </c>
      <c r="I443" s="9">
        <v>126</v>
      </c>
      <c r="J443" s="3">
        <f t="shared" si="6"/>
        <v>978</v>
      </c>
      <c r="K443" t="s">
        <v>593</v>
      </c>
    </row>
    <row r="444" spans="1:11" x14ac:dyDescent="0.3">
      <c r="A444" s="4" t="s">
        <v>451</v>
      </c>
      <c r="B444" s="5">
        <v>45156</v>
      </c>
      <c r="C444" s="9" t="s">
        <v>509</v>
      </c>
      <c r="D444" s="4" t="s">
        <v>514</v>
      </c>
      <c r="E444" s="4" t="s">
        <v>577</v>
      </c>
      <c r="F444" s="4" t="s">
        <v>585</v>
      </c>
      <c r="G444" s="9">
        <v>387</v>
      </c>
      <c r="H444" s="4">
        <v>2</v>
      </c>
      <c r="I444" s="9">
        <v>94</v>
      </c>
      <c r="J444" s="3">
        <f t="shared" si="6"/>
        <v>774</v>
      </c>
      <c r="K444" t="s">
        <v>591</v>
      </c>
    </row>
    <row r="445" spans="1:11" x14ac:dyDescent="0.3">
      <c r="A445" s="4" t="s">
        <v>452</v>
      </c>
      <c r="B445" s="5">
        <v>44967</v>
      </c>
      <c r="C445" s="9" t="s">
        <v>511</v>
      </c>
      <c r="D445" s="4" t="s">
        <v>520</v>
      </c>
      <c r="E445" s="4" t="s">
        <v>562</v>
      </c>
      <c r="F445" s="4" t="s">
        <v>586</v>
      </c>
      <c r="G445" s="9">
        <v>1977</v>
      </c>
      <c r="H445" s="4">
        <v>4</v>
      </c>
      <c r="I445" s="9">
        <v>178</v>
      </c>
      <c r="J445" s="3">
        <f t="shared" si="6"/>
        <v>7908</v>
      </c>
      <c r="K445" t="s">
        <v>592</v>
      </c>
    </row>
    <row r="446" spans="1:11" x14ac:dyDescent="0.3">
      <c r="A446" s="4" t="s">
        <v>453</v>
      </c>
      <c r="B446" s="5">
        <v>44961</v>
      </c>
      <c r="C446" s="9" t="s">
        <v>511</v>
      </c>
      <c r="D446" s="4" t="s">
        <v>527</v>
      </c>
      <c r="E446" s="4" t="s">
        <v>570</v>
      </c>
      <c r="F446" s="4" t="s">
        <v>583</v>
      </c>
      <c r="G446" s="9">
        <v>219</v>
      </c>
      <c r="H446" s="4">
        <v>5</v>
      </c>
      <c r="I446" s="9">
        <v>28</v>
      </c>
      <c r="J446" s="3">
        <f t="shared" si="6"/>
        <v>1095</v>
      </c>
      <c r="K446" t="s">
        <v>592</v>
      </c>
    </row>
    <row r="447" spans="1:11" x14ac:dyDescent="0.3">
      <c r="A447" s="4" t="s">
        <v>454</v>
      </c>
      <c r="B447" s="5">
        <v>45285</v>
      </c>
      <c r="C447" s="9" t="s">
        <v>510</v>
      </c>
      <c r="D447" s="4" t="s">
        <v>528</v>
      </c>
      <c r="E447" s="4" t="s">
        <v>553</v>
      </c>
      <c r="F447" s="4" t="s">
        <v>584</v>
      </c>
      <c r="G447" s="9">
        <v>1264</v>
      </c>
      <c r="H447" s="4">
        <v>5</v>
      </c>
      <c r="I447" s="9">
        <v>261</v>
      </c>
      <c r="J447" s="3">
        <f t="shared" si="6"/>
        <v>6320</v>
      </c>
      <c r="K447" t="s">
        <v>594</v>
      </c>
    </row>
    <row r="448" spans="1:11" x14ac:dyDescent="0.3">
      <c r="A448" s="4" t="s">
        <v>455</v>
      </c>
      <c r="B448" s="5">
        <v>45217</v>
      </c>
      <c r="C448" s="9" t="s">
        <v>509</v>
      </c>
      <c r="D448" s="4" t="s">
        <v>516</v>
      </c>
      <c r="E448" s="4" t="s">
        <v>540</v>
      </c>
      <c r="F448" s="4" t="s">
        <v>585</v>
      </c>
      <c r="G448" s="9">
        <v>1196</v>
      </c>
      <c r="H448" s="4">
        <v>1</v>
      </c>
      <c r="I448" s="9">
        <v>281</v>
      </c>
      <c r="J448" s="3">
        <f t="shared" si="6"/>
        <v>1196</v>
      </c>
      <c r="K448" t="s">
        <v>597</v>
      </c>
    </row>
    <row r="449" spans="1:11" x14ac:dyDescent="0.3">
      <c r="A449" s="4" t="s">
        <v>456</v>
      </c>
      <c r="B449" s="5">
        <v>45062</v>
      </c>
      <c r="C449" s="9" t="s">
        <v>509</v>
      </c>
      <c r="D449" s="4" t="s">
        <v>526</v>
      </c>
      <c r="E449" s="4" t="s">
        <v>548</v>
      </c>
      <c r="F449" s="4" t="s">
        <v>583</v>
      </c>
      <c r="G449" s="9">
        <v>796</v>
      </c>
      <c r="H449" s="4">
        <v>4</v>
      </c>
      <c r="I449" s="9">
        <v>131</v>
      </c>
      <c r="J449" s="3">
        <f t="shared" si="6"/>
        <v>3184</v>
      </c>
      <c r="K449" t="s">
        <v>593</v>
      </c>
    </row>
    <row r="450" spans="1:11" x14ac:dyDescent="0.3">
      <c r="A450" s="4" t="s">
        <v>457</v>
      </c>
      <c r="B450" s="5">
        <v>45133</v>
      </c>
      <c r="C450" s="9" t="s">
        <v>512</v>
      </c>
      <c r="D450" s="4" t="s">
        <v>522</v>
      </c>
      <c r="E450" s="4" t="s">
        <v>547</v>
      </c>
      <c r="F450" s="4" t="s">
        <v>585</v>
      </c>
      <c r="G450" s="9">
        <v>330</v>
      </c>
      <c r="H450" s="4">
        <v>5</v>
      </c>
      <c r="I450" s="9">
        <v>61</v>
      </c>
      <c r="J450" s="3">
        <f t="shared" si="6"/>
        <v>1650</v>
      </c>
      <c r="K450" t="s">
        <v>596</v>
      </c>
    </row>
    <row r="451" spans="1:11" x14ac:dyDescent="0.3">
      <c r="A451" s="4" t="s">
        <v>458</v>
      </c>
      <c r="B451" s="5">
        <v>45280</v>
      </c>
      <c r="C451" s="9" t="s">
        <v>512</v>
      </c>
      <c r="D451" s="4" t="s">
        <v>522</v>
      </c>
      <c r="E451" s="4" t="s">
        <v>572</v>
      </c>
      <c r="F451" s="4" t="s">
        <v>584</v>
      </c>
      <c r="G451" s="9">
        <v>513</v>
      </c>
      <c r="H451" s="4">
        <v>4</v>
      </c>
      <c r="I451" s="9">
        <v>120</v>
      </c>
      <c r="J451" s="3">
        <f t="shared" ref="J451:J501" si="7">H451*G451</f>
        <v>2052</v>
      </c>
      <c r="K451" t="s">
        <v>594</v>
      </c>
    </row>
    <row r="452" spans="1:11" x14ac:dyDescent="0.3">
      <c r="A452" s="4" t="s">
        <v>459</v>
      </c>
      <c r="B452" s="5">
        <v>45086</v>
      </c>
      <c r="C452" s="9" t="s">
        <v>510</v>
      </c>
      <c r="D452" s="4" t="s">
        <v>515</v>
      </c>
      <c r="E452" s="4" t="s">
        <v>579</v>
      </c>
      <c r="F452" s="4" t="s">
        <v>583</v>
      </c>
      <c r="G452" s="9">
        <v>596</v>
      </c>
      <c r="H452" s="4">
        <v>4</v>
      </c>
      <c r="I452" s="9">
        <v>132</v>
      </c>
      <c r="J452" s="3">
        <f t="shared" si="7"/>
        <v>2384</v>
      </c>
      <c r="K452" t="s">
        <v>595</v>
      </c>
    </row>
    <row r="453" spans="1:11" x14ac:dyDescent="0.3">
      <c r="A453" s="4" t="s">
        <v>460</v>
      </c>
      <c r="B453" s="5">
        <v>45153</v>
      </c>
      <c r="C453" s="9" t="s">
        <v>509</v>
      </c>
      <c r="D453" s="4" t="s">
        <v>518</v>
      </c>
      <c r="E453" s="4" t="s">
        <v>579</v>
      </c>
      <c r="F453" s="4" t="s">
        <v>585</v>
      </c>
      <c r="G453" s="9">
        <v>1559</v>
      </c>
      <c r="H453" s="4">
        <v>3</v>
      </c>
      <c r="I453" s="9">
        <v>161</v>
      </c>
      <c r="J453" s="3">
        <f t="shared" si="7"/>
        <v>4677</v>
      </c>
      <c r="K453" t="s">
        <v>591</v>
      </c>
    </row>
    <row r="454" spans="1:11" x14ac:dyDescent="0.3">
      <c r="A454" s="4" t="s">
        <v>461</v>
      </c>
      <c r="B454" s="5">
        <v>45153</v>
      </c>
      <c r="C454" s="9" t="s">
        <v>512</v>
      </c>
      <c r="D454" s="4" t="s">
        <v>530</v>
      </c>
      <c r="E454" s="4" t="s">
        <v>550</v>
      </c>
      <c r="F454" s="4" t="s">
        <v>586</v>
      </c>
      <c r="G454" s="9">
        <v>462</v>
      </c>
      <c r="H454" s="4">
        <v>4</v>
      </c>
      <c r="I454" s="9">
        <v>91</v>
      </c>
      <c r="J454" s="3">
        <f t="shared" si="7"/>
        <v>1848</v>
      </c>
      <c r="K454" t="s">
        <v>591</v>
      </c>
    </row>
    <row r="455" spans="1:11" x14ac:dyDescent="0.3">
      <c r="A455" s="4" t="s">
        <v>462</v>
      </c>
      <c r="B455" s="5">
        <v>45086</v>
      </c>
      <c r="C455" s="9" t="s">
        <v>510</v>
      </c>
      <c r="D455" s="4" t="s">
        <v>515</v>
      </c>
      <c r="E455" s="4" t="s">
        <v>551</v>
      </c>
      <c r="F455" s="4" t="s">
        <v>585</v>
      </c>
      <c r="G455" s="9">
        <v>1433</v>
      </c>
      <c r="H455" s="4">
        <v>4</v>
      </c>
      <c r="I455" s="9">
        <v>110</v>
      </c>
      <c r="J455" s="3">
        <f t="shared" si="7"/>
        <v>5732</v>
      </c>
      <c r="K455" t="s">
        <v>595</v>
      </c>
    </row>
    <row r="456" spans="1:11" x14ac:dyDescent="0.3">
      <c r="A456" s="4" t="s">
        <v>463</v>
      </c>
      <c r="B456" s="5">
        <v>44956</v>
      </c>
      <c r="C456" s="9" t="s">
        <v>509</v>
      </c>
      <c r="D456" s="4" t="s">
        <v>518</v>
      </c>
      <c r="E456" s="4" t="s">
        <v>550</v>
      </c>
      <c r="F456" s="4" t="s">
        <v>585</v>
      </c>
      <c r="G456" s="9">
        <v>536</v>
      </c>
      <c r="H456" s="4">
        <v>4</v>
      </c>
      <c r="I456" s="9">
        <v>32</v>
      </c>
      <c r="J456" s="3">
        <f t="shared" si="7"/>
        <v>2144</v>
      </c>
      <c r="K456" t="s">
        <v>589</v>
      </c>
    </row>
    <row r="457" spans="1:11" x14ac:dyDescent="0.3">
      <c r="A457" s="4" t="s">
        <v>464</v>
      </c>
      <c r="B457" s="5">
        <v>45164</v>
      </c>
      <c r="C457" s="9" t="s">
        <v>510</v>
      </c>
      <c r="D457" s="4" t="s">
        <v>519</v>
      </c>
      <c r="E457" s="4" t="s">
        <v>564</v>
      </c>
      <c r="F457" s="4" t="s">
        <v>583</v>
      </c>
      <c r="G457" s="9">
        <v>1035</v>
      </c>
      <c r="H457" s="4">
        <v>1</v>
      </c>
      <c r="I457" s="9">
        <v>192</v>
      </c>
      <c r="J457" s="3">
        <f t="shared" si="7"/>
        <v>1035</v>
      </c>
      <c r="K457" t="s">
        <v>591</v>
      </c>
    </row>
    <row r="458" spans="1:11" x14ac:dyDescent="0.3">
      <c r="A458" s="4" t="s">
        <v>465</v>
      </c>
      <c r="B458" s="5">
        <v>45155</v>
      </c>
      <c r="C458" s="9" t="s">
        <v>511</v>
      </c>
      <c r="D458" s="4" t="s">
        <v>529</v>
      </c>
      <c r="E458" s="4" t="s">
        <v>556</v>
      </c>
      <c r="F458" s="4" t="s">
        <v>584</v>
      </c>
      <c r="G458" s="9">
        <v>396</v>
      </c>
      <c r="H458" s="4">
        <v>4</v>
      </c>
      <c r="I458" s="9">
        <v>66</v>
      </c>
      <c r="J458" s="3">
        <f t="shared" si="7"/>
        <v>1584</v>
      </c>
      <c r="K458" t="s">
        <v>591</v>
      </c>
    </row>
    <row r="459" spans="1:11" x14ac:dyDescent="0.3">
      <c r="A459" s="4" t="s">
        <v>466</v>
      </c>
      <c r="B459" s="5">
        <v>45279</v>
      </c>
      <c r="C459" s="9" t="s">
        <v>510</v>
      </c>
      <c r="D459" s="4" t="s">
        <v>528</v>
      </c>
      <c r="E459" s="4" t="s">
        <v>560</v>
      </c>
      <c r="F459" s="4" t="s">
        <v>585</v>
      </c>
      <c r="G459" s="9">
        <v>226</v>
      </c>
      <c r="H459" s="4">
        <v>1</v>
      </c>
      <c r="I459" s="9">
        <v>28</v>
      </c>
      <c r="J459" s="3">
        <f t="shared" si="7"/>
        <v>226</v>
      </c>
      <c r="K459" t="s">
        <v>594</v>
      </c>
    </row>
    <row r="460" spans="1:11" x14ac:dyDescent="0.3">
      <c r="A460" s="4" t="s">
        <v>467</v>
      </c>
      <c r="B460" s="5">
        <v>45258</v>
      </c>
      <c r="C460" s="9" t="s">
        <v>511</v>
      </c>
      <c r="D460" s="4" t="s">
        <v>527</v>
      </c>
      <c r="E460" s="4" t="s">
        <v>546</v>
      </c>
      <c r="F460" s="4" t="s">
        <v>585</v>
      </c>
      <c r="G460" s="9">
        <v>488</v>
      </c>
      <c r="H460" s="4">
        <v>2</v>
      </c>
      <c r="I460" s="9">
        <v>50</v>
      </c>
      <c r="J460" s="3">
        <f t="shared" si="7"/>
        <v>976</v>
      </c>
      <c r="K460" t="s">
        <v>590</v>
      </c>
    </row>
    <row r="461" spans="1:11" x14ac:dyDescent="0.3">
      <c r="A461" s="4" t="s">
        <v>468</v>
      </c>
      <c r="B461" s="5">
        <v>45276</v>
      </c>
      <c r="C461" s="9" t="s">
        <v>512</v>
      </c>
      <c r="D461" s="4" t="s">
        <v>530</v>
      </c>
      <c r="E461" s="4" t="s">
        <v>542</v>
      </c>
      <c r="F461" s="4" t="s">
        <v>586</v>
      </c>
      <c r="G461" s="9">
        <v>67</v>
      </c>
      <c r="H461" s="4">
        <v>2</v>
      </c>
      <c r="I461" s="9">
        <v>12</v>
      </c>
      <c r="J461" s="3">
        <f t="shared" si="7"/>
        <v>134</v>
      </c>
      <c r="K461" t="s">
        <v>594</v>
      </c>
    </row>
    <row r="462" spans="1:11" x14ac:dyDescent="0.3">
      <c r="A462" s="4" t="s">
        <v>469</v>
      </c>
      <c r="B462" s="5">
        <v>45083</v>
      </c>
      <c r="C462" s="9" t="s">
        <v>509</v>
      </c>
      <c r="D462" s="4" t="s">
        <v>518</v>
      </c>
      <c r="E462" s="4" t="s">
        <v>556</v>
      </c>
      <c r="F462" s="4" t="s">
        <v>583</v>
      </c>
      <c r="G462" s="9">
        <v>1439</v>
      </c>
      <c r="H462" s="4">
        <v>3</v>
      </c>
      <c r="I462" s="9">
        <v>194</v>
      </c>
      <c r="J462" s="3">
        <f t="shared" si="7"/>
        <v>4317</v>
      </c>
      <c r="K462" t="s">
        <v>595</v>
      </c>
    </row>
    <row r="463" spans="1:11" x14ac:dyDescent="0.3">
      <c r="A463" s="4" t="s">
        <v>470</v>
      </c>
      <c r="B463" s="5">
        <v>45038</v>
      </c>
      <c r="C463" s="9" t="s">
        <v>512</v>
      </c>
      <c r="D463" s="4" t="s">
        <v>532</v>
      </c>
      <c r="E463" s="4" t="s">
        <v>560</v>
      </c>
      <c r="F463" s="4" t="s">
        <v>584</v>
      </c>
      <c r="G463" s="9">
        <v>960</v>
      </c>
      <c r="H463" s="4">
        <v>5</v>
      </c>
      <c r="I463" s="9">
        <v>206</v>
      </c>
      <c r="J463" s="3">
        <f t="shared" si="7"/>
        <v>4800</v>
      </c>
      <c r="K463" t="s">
        <v>588</v>
      </c>
    </row>
    <row r="464" spans="1:11" x14ac:dyDescent="0.3">
      <c r="A464" s="4" t="s">
        <v>471</v>
      </c>
      <c r="B464" s="5">
        <v>45188</v>
      </c>
      <c r="C464" s="9" t="s">
        <v>512</v>
      </c>
      <c r="D464" s="4" t="s">
        <v>530</v>
      </c>
      <c r="E464" s="4" t="s">
        <v>553</v>
      </c>
      <c r="F464" s="4" t="s">
        <v>586</v>
      </c>
      <c r="G464" s="9">
        <v>1998</v>
      </c>
      <c r="H464" s="4">
        <v>3</v>
      </c>
      <c r="I464" s="9">
        <v>324</v>
      </c>
      <c r="J464" s="3">
        <f t="shared" si="7"/>
        <v>5994</v>
      </c>
      <c r="K464" t="s">
        <v>599</v>
      </c>
    </row>
    <row r="465" spans="1:11" x14ac:dyDescent="0.3">
      <c r="A465" s="4" t="s">
        <v>472</v>
      </c>
      <c r="B465" s="5">
        <v>44959</v>
      </c>
      <c r="C465" s="9" t="s">
        <v>510</v>
      </c>
      <c r="D465" s="4" t="s">
        <v>528</v>
      </c>
      <c r="E465" s="4" t="s">
        <v>563</v>
      </c>
      <c r="F465" s="4" t="s">
        <v>586</v>
      </c>
      <c r="G465" s="9">
        <v>705</v>
      </c>
      <c r="H465" s="4">
        <v>3</v>
      </c>
      <c r="I465" s="9">
        <v>125</v>
      </c>
      <c r="J465" s="3">
        <f t="shared" si="7"/>
        <v>2115</v>
      </c>
      <c r="K465" t="s">
        <v>592</v>
      </c>
    </row>
    <row r="466" spans="1:11" x14ac:dyDescent="0.3">
      <c r="A466" s="4" t="s">
        <v>473</v>
      </c>
      <c r="B466" s="5">
        <v>45003</v>
      </c>
      <c r="C466" s="9" t="s">
        <v>510</v>
      </c>
      <c r="D466" s="4" t="s">
        <v>528</v>
      </c>
      <c r="E466" s="4" t="s">
        <v>550</v>
      </c>
      <c r="F466" s="4" t="s">
        <v>583</v>
      </c>
      <c r="G466" s="9">
        <v>1058</v>
      </c>
      <c r="H466" s="4">
        <v>2</v>
      </c>
      <c r="I466" s="9">
        <v>243</v>
      </c>
      <c r="J466" s="3">
        <f t="shared" si="7"/>
        <v>2116</v>
      </c>
      <c r="K466" t="s">
        <v>598</v>
      </c>
    </row>
    <row r="467" spans="1:11" x14ac:dyDescent="0.3">
      <c r="A467" s="4" t="s">
        <v>474</v>
      </c>
      <c r="B467" s="5">
        <v>44940</v>
      </c>
      <c r="C467" s="9" t="s">
        <v>512</v>
      </c>
      <c r="D467" s="4" t="s">
        <v>532</v>
      </c>
      <c r="E467" s="4" t="s">
        <v>575</v>
      </c>
      <c r="F467" s="4" t="s">
        <v>585</v>
      </c>
      <c r="G467" s="9">
        <v>1328</v>
      </c>
      <c r="H467" s="4">
        <v>3</v>
      </c>
      <c r="I467" s="9">
        <v>135</v>
      </c>
      <c r="J467" s="3">
        <f t="shared" si="7"/>
        <v>3984</v>
      </c>
      <c r="K467" t="s">
        <v>589</v>
      </c>
    </row>
    <row r="468" spans="1:11" x14ac:dyDescent="0.3">
      <c r="A468" s="4" t="s">
        <v>475</v>
      </c>
      <c r="B468" s="5">
        <v>44945</v>
      </c>
      <c r="C468" s="9" t="s">
        <v>512</v>
      </c>
      <c r="D468" s="4" t="s">
        <v>521</v>
      </c>
      <c r="E468" s="4" t="s">
        <v>573</v>
      </c>
      <c r="F468" s="4" t="s">
        <v>584</v>
      </c>
      <c r="G468" s="9">
        <v>1186</v>
      </c>
      <c r="H468" s="4">
        <v>5</v>
      </c>
      <c r="I468" s="9">
        <v>253</v>
      </c>
      <c r="J468" s="3">
        <f t="shared" si="7"/>
        <v>5930</v>
      </c>
      <c r="K468" t="s">
        <v>589</v>
      </c>
    </row>
    <row r="469" spans="1:11" x14ac:dyDescent="0.3">
      <c r="A469" s="4" t="s">
        <v>476</v>
      </c>
      <c r="B469" s="5">
        <v>45110</v>
      </c>
      <c r="C469" s="9" t="s">
        <v>510</v>
      </c>
      <c r="D469" s="4" t="s">
        <v>519</v>
      </c>
      <c r="E469" s="4" t="s">
        <v>558</v>
      </c>
      <c r="F469" s="4" t="s">
        <v>584</v>
      </c>
      <c r="G469" s="9">
        <v>1039</v>
      </c>
      <c r="H469" s="4">
        <v>2</v>
      </c>
      <c r="I469" s="9">
        <v>226</v>
      </c>
      <c r="J469" s="3">
        <f t="shared" si="7"/>
        <v>2078</v>
      </c>
      <c r="K469" t="s">
        <v>596</v>
      </c>
    </row>
    <row r="470" spans="1:11" x14ac:dyDescent="0.3">
      <c r="A470" s="4" t="s">
        <v>477</v>
      </c>
      <c r="B470" s="5">
        <v>44992</v>
      </c>
      <c r="C470" s="9" t="s">
        <v>511</v>
      </c>
      <c r="D470" s="4" t="s">
        <v>529</v>
      </c>
      <c r="E470" s="4" t="s">
        <v>563</v>
      </c>
      <c r="F470" s="4" t="s">
        <v>586</v>
      </c>
      <c r="G470" s="9">
        <v>1494</v>
      </c>
      <c r="H470" s="4">
        <v>5</v>
      </c>
      <c r="I470" s="9">
        <v>302</v>
      </c>
      <c r="J470" s="3">
        <f t="shared" si="7"/>
        <v>7470</v>
      </c>
      <c r="K470" t="s">
        <v>598</v>
      </c>
    </row>
    <row r="471" spans="1:11" x14ac:dyDescent="0.3">
      <c r="A471" s="4" t="s">
        <v>478</v>
      </c>
      <c r="B471" s="5">
        <v>45108</v>
      </c>
      <c r="C471" s="9" t="s">
        <v>511</v>
      </c>
      <c r="D471" s="4" t="s">
        <v>529</v>
      </c>
      <c r="E471" s="4" t="s">
        <v>546</v>
      </c>
      <c r="F471" s="4" t="s">
        <v>586</v>
      </c>
      <c r="G471" s="9">
        <v>485</v>
      </c>
      <c r="H471" s="4">
        <v>3</v>
      </c>
      <c r="I471" s="9">
        <v>65</v>
      </c>
      <c r="J471" s="3">
        <f t="shared" si="7"/>
        <v>1455</v>
      </c>
      <c r="K471" t="s">
        <v>596</v>
      </c>
    </row>
    <row r="472" spans="1:11" x14ac:dyDescent="0.3">
      <c r="A472" s="4" t="s">
        <v>479</v>
      </c>
      <c r="B472" s="5">
        <v>45077</v>
      </c>
      <c r="C472" s="9" t="s">
        <v>510</v>
      </c>
      <c r="D472" s="4" t="s">
        <v>528</v>
      </c>
      <c r="E472" s="4" t="s">
        <v>539</v>
      </c>
      <c r="F472" s="4" t="s">
        <v>583</v>
      </c>
      <c r="G472" s="9">
        <v>954</v>
      </c>
      <c r="H472" s="4">
        <v>1</v>
      </c>
      <c r="I472" s="9">
        <v>137</v>
      </c>
      <c r="J472" s="3">
        <f t="shared" si="7"/>
        <v>954</v>
      </c>
      <c r="K472" t="s">
        <v>593</v>
      </c>
    </row>
    <row r="473" spans="1:11" x14ac:dyDescent="0.3">
      <c r="A473" s="4" t="s">
        <v>480</v>
      </c>
      <c r="B473" s="5">
        <v>44988</v>
      </c>
      <c r="C473" s="9" t="s">
        <v>509</v>
      </c>
      <c r="D473" s="4" t="s">
        <v>516</v>
      </c>
      <c r="E473" s="4" t="s">
        <v>543</v>
      </c>
      <c r="F473" s="4" t="s">
        <v>585</v>
      </c>
      <c r="G473" s="9">
        <v>1741</v>
      </c>
      <c r="H473" s="4">
        <v>4</v>
      </c>
      <c r="I473" s="9">
        <v>271</v>
      </c>
      <c r="J473" s="3">
        <f t="shared" si="7"/>
        <v>6964</v>
      </c>
      <c r="K473" t="s">
        <v>598</v>
      </c>
    </row>
    <row r="474" spans="1:11" x14ac:dyDescent="0.3">
      <c r="A474" s="4" t="s">
        <v>481</v>
      </c>
      <c r="B474" s="5">
        <v>45029</v>
      </c>
      <c r="C474" s="9" t="s">
        <v>512</v>
      </c>
      <c r="D474" s="4" t="s">
        <v>522</v>
      </c>
      <c r="E474" s="4" t="s">
        <v>545</v>
      </c>
      <c r="F474" s="4" t="s">
        <v>585</v>
      </c>
      <c r="G474" s="9">
        <v>718</v>
      </c>
      <c r="H474" s="4">
        <v>5</v>
      </c>
      <c r="I474" s="9">
        <v>164</v>
      </c>
      <c r="J474" s="3">
        <f t="shared" si="7"/>
        <v>3590</v>
      </c>
      <c r="K474" t="s">
        <v>588</v>
      </c>
    </row>
    <row r="475" spans="1:11" x14ac:dyDescent="0.3">
      <c r="A475" s="4" t="s">
        <v>482</v>
      </c>
      <c r="B475" s="5">
        <v>45019</v>
      </c>
      <c r="C475" s="9" t="s">
        <v>512</v>
      </c>
      <c r="D475" s="4" t="s">
        <v>523</v>
      </c>
      <c r="E475" s="4" t="s">
        <v>535</v>
      </c>
      <c r="F475" s="4" t="s">
        <v>583</v>
      </c>
      <c r="G475" s="9">
        <v>1568</v>
      </c>
      <c r="H475" s="4">
        <v>4</v>
      </c>
      <c r="I475" s="9">
        <v>182</v>
      </c>
      <c r="J475" s="3">
        <f t="shared" si="7"/>
        <v>6272</v>
      </c>
      <c r="K475" t="s">
        <v>588</v>
      </c>
    </row>
    <row r="476" spans="1:11" x14ac:dyDescent="0.3">
      <c r="A476" s="4" t="s">
        <v>483</v>
      </c>
      <c r="B476" s="5">
        <v>45158</v>
      </c>
      <c r="C476" s="9" t="s">
        <v>511</v>
      </c>
      <c r="D476" s="4" t="s">
        <v>529</v>
      </c>
      <c r="E476" s="4" t="s">
        <v>553</v>
      </c>
      <c r="F476" s="4" t="s">
        <v>586</v>
      </c>
      <c r="G476" s="9">
        <v>583</v>
      </c>
      <c r="H476" s="4">
        <v>2</v>
      </c>
      <c r="I476" s="9">
        <v>96</v>
      </c>
      <c r="J476" s="3">
        <f t="shared" si="7"/>
        <v>1166</v>
      </c>
      <c r="K476" t="s">
        <v>591</v>
      </c>
    </row>
    <row r="477" spans="1:11" x14ac:dyDescent="0.3">
      <c r="A477" s="4" t="s">
        <v>484</v>
      </c>
      <c r="B477" s="5">
        <v>45241</v>
      </c>
      <c r="C477" s="9" t="s">
        <v>511</v>
      </c>
      <c r="D477" s="4" t="s">
        <v>531</v>
      </c>
      <c r="E477" s="4" t="s">
        <v>545</v>
      </c>
      <c r="F477" s="4" t="s">
        <v>586</v>
      </c>
      <c r="G477" s="9">
        <v>895</v>
      </c>
      <c r="H477" s="4">
        <v>4</v>
      </c>
      <c r="I477" s="9">
        <v>117</v>
      </c>
      <c r="J477" s="3">
        <f t="shared" si="7"/>
        <v>3580</v>
      </c>
      <c r="K477" t="s">
        <v>590</v>
      </c>
    </row>
    <row r="478" spans="1:11" x14ac:dyDescent="0.3">
      <c r="A478" s="4" t="s">
        <v>485</v>
      </c>
      <c r="B478" s="5">
        <v>45200</v>
      </c>
      <c r="C478" s="9" t="s">
        <v>512</v>
      </c>
      <c r="D478" s="4" t="s">
        <v>521</v>
      </c>
      <c r="E478" s="4" t="s">
        <v>534</v>
      </c>
      <c r="F478" s="4" t="s">
        <v>586</v>
      </c>
      <c r="G478" s="9">
        <v>438</v>
      </c>
      <c r="H478" s="4">
        <v>3</v>
      </c>
      <c r="I478" s="9">
        <v>105</v>
      </c>
      <c r="J478" s="3">
        <f t="shared" si="7"/>
        <v>1314</v>
      </c>
      <c r="K478" t="s">
        <v>597</v>
      </c>
    </row>
    <row r="479" spans="1:11" x14ac:dyDescent="0.3">
      <c r="A479" s="4" t="s">
        <v>486</v>
      </c>
      <c r="B479" s="5">
        <v>45273</v>
      </c>
      <c r="C479" s="9" t="s">
        <v>510</v>
      </c>
      <c r="D479" s="4" t="s">
        <v>517</v>
      </c>
      <c r="E479" s="4" t="s">
        <v>582</v>
      </c>
      <c r="F479" s="4" t="s">
        <v>585</v>
      </c>
      <c r="G479" s="9">
        <v>58</v>
      </c>
      <c r="H479" s="4">
        <v>2</v>
      </c>
      <c r="I479" s="9">
        <v>5</v>
      </c>
      <c r="J479" s="3">
        <f t="shared" si="7"/>
        <v>116</v>
      </c>
      <c r="K479" t="s">
        <v>594</v>
      </c>
    </row>
    <row r="480" spans="1:11" x14ac:dyDescent="0.3">
      <c r="A480" s="4" t="s">
        <v>487</v>
      </c>
      <c r="B480" s="5">
        <v>45123</v>
      </c>
      <c r="C480" s="9" t="s">
        <v>510</v>
      </c>
      <c r="D480" s="4" t="s">
        <v>528</v>
      </c>
      <c r="E480" s="4" t="s">
        <v>578</v>
      </c>
      <c r="F480" s="4" t="s">
        <v>585</v>
      </c>
      <c r="G480" s="9">
        <v>1031</v>
      </c>
      <c r="H480" s="4">
        <v>3</v>
      </c>
      <c r="I480" s="9">
        <v>86</v>
      </c>
      <c r="J480" s="3">
        <f t="shared" si="7"/>
        <v>3093</v>
      </c>
      <c r="K480" t="s">
        <v>596</v>
      </c>
    </row>
    <row r="481" spans="1:11" x14ac:dyDescent="0.3">
      <c r="A481" s="4" t="s">
        <v>488</v>
      </c>
      <c r="B481" s="5">
        <v>45193</v>
      </c>
      <c r="C481" s="9" t="s">
        <v>509</v>
      </c>
      <c r="D481" s="4" t="s">
        <v>526</v>
      </c>
      <c r="E481" s="4" t="s">
        <v>568</v>
      </c>
      <c r="F481" s="4" t="s">
        <v>583</v>
      </c>
      <c r="G481" s="9">
        <v>1212</v>
      </c>
      <c r="H481" s="4">
        <v>3</v>
      </c>
      <c r="I481" s="9">
        <v>165</v>
      </c>
      <c r="J481" s="3">
        <f t="shared" si="7"/>
        <v>3636</v>
      </c>
      <c r="K481" t="s">
        <v>599</v>
      </c>
    </row>
    <row r="482" spans="1:11" x14ac:dyDescent="0.3">
      <c r="A482" s="4" t="s">
        <v>489</v>
      </c>
      <c r="B482" s="5">
        <v>45023</v>
      </c>
      <c r="C482" s="9" t="s">
        <v>511</v>
      </c>
      <c r="D482" s="4" t="s">
        <v>529</v>
      </c>
      <c r="E482" s="4" t="s">
        <v>571</v>
      </c>
      <c r="F482" s="4" t="s">
        <v>584</v>
      </c>
      <c r="G482" s="9">
        <v>371</v>
      </c>
      <c r="H482" s="4">
        <v>4</v>
      </c>
      <c r="I482" s="9">
        <v>20</v>
      </c>
      <c r="J482" s="3">
        <f t="shared" si="7"/>
        <v>1484</v>
      </c>
      <c r="K482" t="s">
        <v>588</v>
      </c>
    </row>
    <row r="483" spans="1:11" x14ac:dyDescent="0.3">
      <c r="A483" s="4" t="s">
        <v>490</v>
      </c>
      <c r="B483" s="5">
        <v>44938</v>
      </c>
      <c r="C483" s="9" t="s">
        <v>511</v>
      </c>
      <c r="D483" s="4" t="s">
        <v>520</v>
      </c>
      <c r="E483" s="4" t="s">
        <v>575</v>
      </c>
      <c r="F483" s="4" t="s">
        <v>585</v>
      </c>
      <c r="G483" s="9">
        <v>1199</v>
      </c>
      <c r="H483" s="4">
        <v>2</v>
      </c>
      <c r="I483" s="9">
        <v>89</v>
      </c>
      <c r="J483" s="3">
        <f t="shared" si="7"/>
        <v>2398</v>
      </c>
      <c r="K483" t="s">
        <v>589</v>
      </c>
    </row>
    <row r="484" spans="1:11" x14ac:dyDescent="0.3">
      <c r="A484" s="4" t="s">
        <v>491</v>
      </c>
      <c r="B484" s="5">
        <v>45200</v>
      </c>
      <c r="C484" s="9" t="s">
        <v>509</v>
      </c>
      <c r="D484" s="4" t="s">
        <v>516</v>
      </c>
      <c r="E484" s="4" t="s">
        <v>542</v>
      </c>
      <c r="F484" s="4" t="s">
        <v>583</v>
      </c>
      <c r="G484" s="9">
        <v>1265</v>
      </c>
      <c r="H484" s="4">
        <v>5</v>
      </c>
      <c r="I484" s="9">
        <v>314</v>
      </c>
      <c r="J484" s="3">
        <f t="shared" si="7"/>
        <v>6325</v>
      </c>
      <c r="K484" t="s">
        <v>597</v>
      </c>
    </row>
    <row r="485" spans="1:11" x14ac:dyDescent="0.3">
      <c r="A485" s="4" t="s">
        <v>492</v>
      </c>
      <c r="B485" s="5">
        <v>44986</v>
      </c>
      <c r="C485" s="9" t="s">
        <v>509</v>
      </c>
      <c r="D485" s="4" t="s">
        <v>513</v>
      </c>
      <c r="E485" s="4" t="s">
        <v>536</v>
      </c>
      <c r="F485" s="4" t="s">
        <v>586</v>
      </c>
      <c r="G485" s="9">
        <v>862</v>
      </c>
      <c r="H485" s="4">
        <v>4</v>
      </c>
      <c r="I485" s="9">
        <v>64</v>
      </c>
      <c r="J485" s="3">
        <f t="shared" si="7"/>
        <v>3448</v>
      </c>
      <c r="K485" t="s">
        <v>598</v>
      </c>
    </row>
    <row r="486" spans="1:11" x14ac:dyDescent="0.3">
      <c r="A486" s="4" t="s">
        <v>493</v>
      </c>
      <c r="B486" s="5">
        <v>45282</v>
      </c>
      <c r="C486" s="9" t="s">
        <v>510</v>
      </c>
      <c r="D486" s="4" t="s">
        <v>525</v>
      </c>
      <c r="E486" s="4" t="s">
        <v>565</v>
      </c>
      <c r="F486" s="4" t="s">
        <v>585</v>
      </c>
      <c r="G486" s="9">
        <v>1387</v>
      </c>
      <c r="H486" s="4">
        <v>1</v>
      </c>
      <c r="I486" s="9">
        <v>152</v>
      </c>
      <c r="J486" s="3">
        <f t="shared" si="7"/>
        <v>1387</v>
      </c>
      <c r="K486" t="s">
        <v>594</v>
      </c>
    </row>
    <row r="487" spans="1:11" x14ac:dyDescent="0.3">
      <c r="A487" s="4" t="s">
        <v>494</v>
      </c>
      <c r="B487" s="5">
        <v>45237</v>
      </c>
      <c r="C487" s="9" t="s">
        <v>509</v>
      </c>
      <c r="D487" s="4" t="s">
        <v>514</v>
      </c>
      <c r="E487" s="4" t="s">
        <v>557</v>
      </c>
      <c r="F487" s="4" t="s">
        <v>583</v>
      </c>
      <c r="G487" s="9">
        <v>1416</v>
      </c>
      <c r="H487" s="4">
        <v>4</v>
      </c>
      <c r="I487" s="9">
        <v>306</v>
      </c>
      <c r="J487" s="3">
        <f t="shared" si="7"/>
        <v>5664</v>
      </c>
      <c r="K487" t="s">
        <v>590</v>
      </c>
    </row>
    <row r="488" spans="1:11" x14ac:dyDescent="0.3">
      <c r="A488" s="4" t="s">
        <v>495</v>
      </c>
      <c r="B488" s="5">
        <v>44985</v>
      </c>
      <c r="C488" s="9" t="s">
        <v>509</v>
      </c>
      <c r="D488" s="4" t="s">
        <v>514</v>
      </c>
      <c r="E488" s="4" t="s">
        <v>554</v>
      </c>
      <c r="F488" s="4" t="s">
        <v>586</v>
      </c>
      <c r="G488" s="9">
        <v>1580</v>
      </c>
      <c r="H488" s="4">
        <v>4</v>
      </c>
      <c r="I488" s="9">
        <v>141</v>
      </c>
      <c r="J488" s="3">
        <f t="shared" si="7"/>
        <v>6320</v>
      </c>
      <c r="K488" t="s">
        <v>592</v>
      </c>
    </row>
    <row r="489" spans="1:11" x14ac:dyDescent="0.3">
      <c r="A489" s="4" t="s">
        <v>496</v>
      </c>
      <c r="B489" s="5">
        <v>45287</v>
      </c>
      <c r="C489" s="9" t="s">
        <v>511</v>
      </c>
      <c r="D489" s="4" t="s">
        <v>529</v>
      </c>
      <c r="E489" s="4" t="s">
        <v>571</v>
      </c>
      <c r="F489" s="4" t="s">
        <v>585</v>
      </c>
      <c r="G489" s="9">
        <v>849</v>
      </c>
      <c r="H489" s="4">
        <v>2</v>
      </c>
      <c r="I489" s="9">
        <v>49</v>
      </c>
      <c r="J489" s="3">
        <f t="shared" si="7"/>
        <v>1698</v>
      </c>
      <c r="K489" t="s">
        <v>594</v>
      </c>
    </row>
    <row r="490" spans="1:11" x14ac:dyDescent="0.3">
      <c r="A490" s="4" t="s">
        <v>497</v>
      </c>
      <c r="B490" s="5">
        <v>45047</v>
      </c>
      <c r="C490" s="9" t="s">
        <v>512</v>
      </c>
      <c r="D490" s="4" t="s">
        <v>523</v>
      </c>
      <c r="E490" s="4" t="s">
        <v>572</v>
      </c>
      <c r="F490" s="4" t="s">
        <v>584</v>
      </c>
      <c r="G490" s="9">
        <v>55</v>
      </c>
      <c r="H490" s="4">
        <v>1</v>
      </c>
      <c r="I490" s="9">
        <v>12</v>
      </c>
      <c r="J490" s="3">
        <f t="shared" si="7"/>
        <v>55</v>
      </c>
      <c r="K490" t="s">
        <v>593</v>
      </c>
    </row>
    <row r="491" spans="1:11" x14ac:dyDescent="0.3">
      <c r="A491" s="4" t="s">
        <v>498</v>
      </c>
      <c r="B491" s="5">
        <v>45188</v>
      </c>
      <c r="C491" s="9" t="s">
        <v>512</v>
      </c>
      <c r="D491" s="4" t="s">
        <v>523</v>
      </c>
      <c r="E491" s="4" t="s">
        <v>542</v>
      </c>
      <c r="F491" s="4" t="s">
        <v>586</v>
      </c>
      <c r="G491" s="9">
        <v>196</v>
      </c>
      <c r="H491" s="4">
        <v>1</v>
      </c>
      <c r="I491" s="9">
        <v>45</v>
      </c>
      <c r="J491" s="3">
        <f t="shared" si="7"/>
        <v>196</v>
      </c>
      <c r="K491" t="s">
        <v>599</v>
      </c>
    </row>
    <row r="492" spans="1:11" x14ac:dyDescent="0.3">
      <c r="A492" s="4" t="s">
        <v>499</v>
      </c>
      <c r="B492" s="5">
        <v>45164</v>
      </c>
      <c r="C492" s="9" t="s">
        <v>511</v>
      </c>
      <c r="D492" s="4" t="s">
        <v>531</v>
      </c>
      <c r="E492" s="4" t="s">
        <v>560</v>
      </c>
      <c r="F492" s="4" t="s">
        <v>583</v>
      </c>
      <c r="G492" s="9">
        <v>147</v>
      </c>
      <c r="H492" s="4">
        <v>2</v>
      </c>
      <c r="I492" s="9">
        <v>33</v>
      </c>
      <c r="J492" s="3">
        <f t="shared" si="7"/>
        <v>294</v>
      </c>
      <c r="K492" t="s">
        <v>591</v>
      </c>
    </row>
    <row r="493" spans="1:11" x14ac:dyDescent="0.3">
      <c r="A493" s="4" t="s">
        <v>500</v>
      </c>
      <c r="B493" s="5">
        <v>44986</v>
      </c>
      <c r="C493" s="9" t="s">
        <v>510</v>
      </c>
      <c r="D493" s="4" t="s">
        <v>528</v>
      </c>
      <c r="E493" s="4" t="s">
        <v>562</v>
      </c>
      <c r="F493" s="4" t="s">
        <v>583</v>
      </c>
      <c r="G493" s="9">
        <v>235</v>
      </c>
      <c r="H493" s="4">
        <v>1</v>
      </c>
      <c r="I493" s="9">
        <v>12</v>
      </c>
      <c r="J493" s="3">
        <f t="shared" si="7"/>
        <v>235</v>
      </c>
      <c r="K493" t="s">
        <v>598</v>
      </c>
    </row>
    <row r="494" spans="1:11" x14ac:dyDescent="0.3">
      <c r="A494" s="4" t="s">
        <v>501</v>
      </c>
      <c r="B494" s="5">
        <v>45151</v>
      </c>
      <c r="C494" s="9" t="s">
        <v>511</v>
      </c>
      <c r="D494" s="4" t="s">
        <v>520</v>
      </c>
      <c r="E494" s="4" t="s">
        <v>571</v>
      </c>
      <c r="F494" s="4" t="s">
        <v>583</v>
      </c>
      <c r="G494" s="9">
        <v>1912</v>
      </c>
      <c r="H494" s="4">
        <v>3</v>
      </c>
      <c r="I494" s="9">
        <v>431</v>
      </c>
      <c r="J494" s="3">
        <f t="shared" si="7"/>
        <v>5736</v>
      </c>
      <c r="K494" t="s">
        <v>591</v>
      </c>
    </row>
    <row r="495" spans="1:11" x14ac:dyDescent="0.3">
      <c r="A495" s="4" t="s">
        <v>502</v>
      </c>
      <c r="B495" s="5">
        <v>44985</v>
      </c>
      <c r="C495" s="9" t="s">
        <v>509</v>
      </c>
      <c r="D495" s="4" t="s">
        <v>526</v>
      </c>
      <c r="E495" s="4" t="s">
        <v>567</v>
      </c>
      <c r="F495" s="4" t="s">
        <v>583</v>
      </c>
      <c r="G495" s="9">
        <v>831</v>
      </c>
      <c r="H495" s="4">
        <v>4</v>
      </c>
      <c r="I495" s="9">
        <v>86</v>
      </c>
      <c r="J495" s="3">
        <f t="shared" si="7"/>
        <v>3324</v>
      </c>
      <c r="K495" t="s">
        <v>592</v>
      </c>
    </row>
    <row r="496" spans="1:11" x14ac:dyDescent="0.3">
      <c r="A496" s="4" t="s">
        <v>503</v>
      </c>
      <c r="B496" s="5">
        <v>45012</v>
      </c>
      <c r="C496" s="9" t="s">
        <v>512</v>
      </c>
      <c r="D496" s="4" t="s">
        <v>521</v>
      </c>
      <c r="E496" s="4" t="s">
        <v>580</v>
      </c>
      <c r="F496" s="4" t="s">
        <v>584</v>
      </c>
      <c r="G496" s="9">
        <v>270</v>
      </c>
      <c r="H496" s="4">
        <v>1</v>
      </c>
      <c r="I496" s="9">
        <v>66</v>
      </c>
      <c r="J496" s="3">
        <f t="shared" si="7"/>
        <v>270</v>
      </c>
      <c r="K496" t="s">
        <v>598</v>
      </c>
    </row>
    <row r="497" spans="1:11" x14ac:dyDescent="0.3">
      <c r="A497" s="4" t="s">
        <v>504</v>
      </c>
      <c r="B497" s="5">
        <v>45174</v>
      </c>
      <c r="C497" s="9" t="s">
        <v>511</v>
      </c>
      <c r="D497" s="4" t="s">
        <v>524</v>
      </c>
      <c r="E497" s="4" t="s">
        <v>539</v>
      </c>
      <c r="F497" s="4" t="s">
        <v>584</v>
      </c>
      <c r="G497" s="9">
        <v>1614</v>
      </c>
      <c r="H497" s="4">
        <v>4</v>
      </c>
      <c r="I497" s="9">
        <v>139</v>
      </c>
      <c r="J497" s="3">
        <f t="shared" si="7"/>
        <v>6456</v>
      </c>
      <c r="K497" t="s">
        <v>599</v>
      </c>
    </row>
    <row r="498" spans="1:11" x14ac:dyDescent="0.3">
      <c r="A498" s="4" t="s">
        <v>505</v>
      </c>
      <c r="B498" s="5">
        <v>44993</v>
      </c>
      <c r="C498" s="9" t="s">
        <v>512</v>
      </c>
      <c r="D498" s="4" t="s">
        <v>532</v>
      </c>
      <c r="E498" s="4" t="s">
        <v>549</v>
      </c>
      <c r="F498" s="4" t="s">
        <v>586</v>
      </c>
      <c r="G498" s="9">
        <v>992</v>
      </c>
      <c r="H498" s="4">
        <v>4</v>
      </c>
      <c r="I498" s="9">
        <v>72</v>
      </c>
      <c r="J498" s="3">
        <f t="shared" si="7"/>
        <v>3968</v>
      </c>
      <c r="K498" t="s">
        <v>598</v>
      </c>
    </row>
    <row r="499" spans="1:11" x14ac:dyDescent="0.3">
      <c r="A499" s="4" t="s">
        <v>506</v>
      </c>
      <c r="B499" s="5">
        <v>45060</v>
      </c>
      <c r="C499" s="9" t="s">
        <v>512</v>
      </c>
      <c r="D499" s="4" t="s">
        <v>521</v>
      </c>
      <c r="E499" s="4" t="s">
        <v>551</v>
      </c>
      <c r="F499" s="4" t="s">
        <v>586</v>
      </c>
      <c r="G499" s="9">
        <v>1327</v>
      </c>
      <c r="H499" s="4">
        <v>1</v>
      </c>
      <c r="I499" s="9">
        <v>253</v>
      </c>
      <c r="J499" s="3">
        <f t="shared" si="7"/>
        <v>1327</v>
      </c>
      <c r="K499" t="s">
        <v>593</v>
      </c>
    </row>
    <row r="500" spans="1:11" x14ac:dyDescent="0.3">
      <c r="A500" s="4" t="s">
        <v>507</v>
      </c>
      <c r="B500" s="5">
        <v>45265</v>
      </c>
      <c r="C500" s="9" t="s">
        <v>511</v>
      </c>
      <c r="D500" s="4" t="s">
        <v>529</v>
      </c>
      <c r="E500" s="4" t="s">
        <v>562</v>
      </c>
      <c r="F500" s="4" t="s">
        <v>586</v>
      </c>
      <c r="G500" s="9">
        <v>1466</v>
      </c>
      <c r="H500" s="4">
        <v>4</v>
      </c>
      <c r="I500" s="9">
        <v>174</v>
      </c>
      <c r="J500" s="3">
        <f t="shared" si="7"/>
        <v>5864</v>
      </c>
      <c r="K500" t="s">
        <v>594</v>
      </c>
    </row>
    <row r="501" spans="1:11" x14ac:dyDescent="0.3">
      <c r="A501" s="4" t="s">
        <v>508</v>
      </c>
      <c r="B501" s="5">
        <v>45256</v>
      </c>
      <c r="C501" s="9" t="s">
        <v>512</v>
      </c>
      <c r="D501" s="4" t="s">
        <v>523</v>
      </c>
      <c r="E501" s="4" t="s">
        <v>553</v>
      </c>
      <c r="F501" s="4" t="s">
        <v>586</v>
      </c>
      <c r="G501" s="9">
        <v>1872</v>
      </c>
      <c r="H501" s="4">
        <v>5</v>
      </c>
      <c r="I501" s="9">
        <v>411</v>
      </c>
      <c r="J501" s="3">
        <f t="shared" si="7"/>
        <v>9360</v>
      </c>
      <c r="K501" t="s">
        <v>590</v>
      </c>
    </row>
  </sheetData>
  <sortState ref="A2:A501">
    <sortCondition ref="A2"/>
  </sortState>
  <dataValidations count="2">
    <dataValidation type="custom" allowBlank="1" showInputMessage="1" showErrorMessage="1" errorTitle="order id" error="duplicates values not allowed" sqref="A2 A4:A501">
      <formula1>COUNTIF($A$2:$A$501,A2)=1</formula1>
    </dataValidation>
    <dataValidation type="custom" allowBlank="1" showInputMessage="1" showErrorMessage="1" errorTitle="order id" error="duplicates values not allowed" sqref="A3">
      <formula1>COUNTIF(A1:A501,A2)=1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vt:lpstr>
      <vt:lpstr>working sheet</vt:lpstr>
      <vt:lpstr>dashboard</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tanwar</dc:creator>
  <cp:lastModifiedBy>Manisharani</cp:lastModifiedBy>
  <dcterms:created xsi:type="dcterms:W3CDTF">2025-09-08T05:00:46Z</dcterms:created>
  <dcterms:modified xsi:type="dcterms:W3CDTF">2026-01-06T16:30:46Z</dcterms:modified>
</cp:coreProperties>
</file>